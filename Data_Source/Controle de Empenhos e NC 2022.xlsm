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slicers/slicer2.xml" ContentType="application/vnd.ms-excel.slicer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Z:\GESAC\GESAC 2022\"/>
    </mc:Choice>
  </mc:AlternateContent>
  <xr:revisionPtr revIDLastSave="0" documentId="13_ncr:1_{DFC6846D-72C6-49F4-8F5C-0D21D96013EC}" xr6:coauthVersionLast="47" xr6:coauthVersionMax="47" xr10:uidLastSave="{00000000-0000-0000-0000-000000000000}"/>
  <bookViews>
    <workbookView xWindow="-120" yWindow="-120" windowWidth="29040" windowHeight="15840" xr2:uid="{021C0464-38A4-47FE-82A2-6CA0DD72745B}"/>
  </bookViews>
  <sheets>
    <sheet name="ControleGeral" sheetId="5" r:id="rId1"/>
    <sheet name="SintéticoGeral" sheetId="6" r:id="rId2"/>
    <sheet name="SintéticoNC" sheetId="2" r:id="rId3"/>
    <sheet name="AnalíticoNC" sheetId="3" r:id="rId4"/>
    <sheet name="ÍndiceCorreçãoNC" sheetId="4" r:id="rId5"/>
  </sheets>
  <definedNames>
    <definedName name="_xlnm._FilterDatabase" localSheetId="3" hidden="1">AnalíticoNC!$B$2:$I$977</definedName>
    <definedName name="_xlnm._FilterDatabase" localSheetId="0" hidden="1">ControleGeral!$C$13:$X$186</definedName>
    <definedName name="_xlnm._FilterDatabase" localSheetId="2" hidden="1">SintéticoNC!$F$4:$N$89</definedName>
    <definedName name="SegmentaçãodeDados_Mês">#N/A</definedName>
    <definedName name="SegmentaçãodeDados_Proponente">#N/A</definedName>
    <definedName name="SegmentaçãodeDados_Proponente1">#N/A</definedName>
  </definedNames>
  <calcPr calcId="191029"/>
  <pivotCaches>
    <pivotCache cacheId="10" r:id="rId6"/>
    <pivotCache cacheId="11" r:id="rId7"/>
    <pivotCache cacheId="17" r:id="rId8"/>
  </pivotCaches>
  <extLst>
    <ext xmlns:x14="http://schemas.microsoft.com/office/spreadsheetml/2009/9/main" uri="{BBE1A952-AA13-448e-AADC-164F8A28A991}">
      <x14:slicerCaches>
        <x14:slicerCache r:id="rId9"/>
        <x14:slicerCache r:id="rId10"/>
        <x14:slicerCache r:id="rId11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48" i="3" l="1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G49" i="3"/>
  <c r="G50" i="3"/>
  <c r="G51" i="3"/>
  <c r="N86" i="2"/>
  <c r="N87" i="2"/>
  <c r="N88" i="2"/>
  <c r="N89" i="2"/>
  <c r="N85" i="2"/>
  <c r="J182" i="5" s="1"/>
  <c r="C4" i="4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71" i="5"/>
  <c r="J72" i="5"/>
  <c r="J73" i="5"/>
  <c r="J74" i="5"/>
  <c r="J75" i="5"/>
  <c r="J76" i="5"/>
  <c r="J77" i="5"/>
  <c r="J78" i="5"/>
  <c r="J79" i="5"/>
  <c r="J80" i="5"/>
  <c r="J81" i="5"/>
  <c r="J82" i="5"/>
  <c r="J83" i="5"/>
  <c r="J84" i="5"/>
  <c r="J85" i="5"/>
  <c r="J86" i="5"/>
  <c r="J87" i="5"/>
  <c r="J88" i="5"/>
  <c r="J89" i="5"/>
  <c r="J90" i="5"/>
  <c r="J92" i="5"/>
  <c r="J93" i="5"/>
  <c r="J94" i="5"/>
  <c r="J95" i="5"/>
  <c r="J96" i="5"/>
  <c r="J97" i="5"/>
  <c r="J98" i="5"/>
  <c r="J99" i="5"/>
  <c r="J100" i="5"/>
  <c r="J101" i="5"/>
  <c r="J102" i="5"/>
  <c r="J103" i="5"/>
  <c r="J104" i="5"/>
  <c r="J105" i="5"/>
  <c r="G183" i="5"/>
  <c r="G184" i="5"/>
  <c r="G185" i="5"/>
  <c r="G186" i="5"/>
  <c r="G182" i="5"/>
  <c r="I49" i="3" l="1"/>
  <c r="I51" i="3"/>
  <c r="I50" i="3"/>
  <c r="B19" i="2"/>
  <c r="B7" i="2"/>
  <c r="G919" i="3"/>
  <c r="H919" i="3" s="1"/>
  <c r="G920" i="3"/>
  <c r="H920" i="3" s="1"/>
  <c r="G921" i="3"/>
  <c r="I921" i="3" s="1"/>
  <c r="G922" i="3"/>
  <c r="I922" i="3" s="1"/>
  <c r="G918" i="3"/>
  <c r="I918" i="3" s="1"/>
  <c r="I919" i="3" l="1"/>
  <c r="J919" i="3" s="1"/>
  <c r="J922" i="3"/>
  <c r="G927" i="3"/>
  <c r="H927" i="3" s="1"/>
  <c r="H922" i="3"/>
  <c r="G926" i="3"/>
  <c r="H926" i="3" s="1"/>
  <c r="J921" i="3"/>
  <c r="H921" i="3"/>
  <c r="I920" i="3"/>
  <c r="G923" i="3"/>
  <c r="H918" i="3"/>
  <c r="H923" i="3" l="1"/>
  <c r="I923" i="3"/>
  <c r="G928" i="3" s="1"/>
  <c r="G924" i="3"/>
  <c r="H924" i="3" s="1"/>
  <c r="I927" i="3"/>
  <c r="I926" i="3"/>
  <c r="J920" i="3"/>
  <c r="G925" i="3"/>
  <c r="H925" i="3" s="1"/>
  <c r="I924" i="3" l="1"/>
  <c r="J924" i="3" s="1"/>
  <c r="J923" i="3"/>
  <c r="J927" i="3"/>
  <c r="G932" i="3"/>
  <c r="J926" i="3"/>
  <c r="G931" i="3"/>
  <c r="H931" i="3" s="1"/>
  <c r="I925" i="3"/>
  <c r="H928" i="3"/>
  <c r="I928" i="3"/>
  <c r="G929" i="3" l="1"/>
  <c r="I929" i="3" s="1"/>
  <c r="J929" i="3" s="1"/>
  <c r="I932" i="3"/>
  <c r="H932" i="3"/>
  <c r="I931" i="3"/>
  <c r="J925" i="3"/>
  <c r="G930" i="3"/>
  <c r="H930" i="3" s="1"/>
  <c r="J928" i="3"/>
  <c r="G933" i="3"/>
  <c r="H933" i="3" s="1"/>
  <c r="H929" i="3" l="1"/>
  <c r="I930" i="3"/>
  <c r="G935" i="3" s="1"/>
  <c r="H935" i="3" s="1"/>
  <c r="G934" i="3"/>
  <c r="J932" i="3"/>
  <c r="G937" i="3"/>
  <c r="H937" i="3" s="1"/>
  <c r="J931" i="3"/>
  <c r="G936" i="3"/>
  <c r="H936" i="3" s="1"/>
  <c r="I933" i="3"/>
  <c r="I937" i="3" l="1"/>
  <c r="G942" i="3" s="1"/>
  <c r="H942" i="3" s="1"/>
  <c r="J930" i="3"/>
  <c r="H934" i="3"/>
  <c r="I934" i="3"/>
  <c r="I936" i="3"/>
  <c r="I935" i="3"/>
  <c r="J933" i="3"/>
  <c r="G938" i="3"/>
  <c r="H938" i="3" s="1"/>
  <c r="J937" i="3" l="1"/>
  <c r="I938" i="3"/>
  <c r="J938" i="3" s="1"/>
  <c r="J934" i="3"/>
  <c r="G939" i="3"/>
  <c r="I942" i="3"/>
  <c r="G941" i="3"/>
  <c r="H941" i="3" s="1"/>
  <c r="J936" i="3"/>
  <c r="J935" i="3"/>
  <c r="G940" i="3"/>
  <c r="H940" i="3" s="1"/>
  <c r="I940" i="3" l="1"/>
  <c r="J940" i="3" s="1"/>
  <c r="I941" i="3"/>
  <c r="G946" i="3" s="1"/>
  <c r="I946" i="3" s="1"/>
  <c r="G943" i="3"/>
  <c r="H943" i="3" s="1"/>
  <c r="I939" i="3"/>
  <c r="H939" i="3"/>
  <c r="G947" i="3"/>
  <c r="H947" i="3" s="1"/>
  <c r="J942" i="3"/>
  <c r="G945" i="3" l="1"/>
  <c r="H945" i="3" s="1"/>
  <c r="I947" i="3"/>
  <c r="J947" i="3" s="1"/>
  <c r="J941" i="3"/>
  <c r="I943" i="3"/>
  <c r="G944" i="3"/>
  <c r="I944" i="3" s="1"/>
  <c r="J939" i="3"/>
  <c r="J946" i="3"/>
  <c r="G951" i="3"/>
  <c r="H951" i="3" s="1"/>
  <c r="H946" i="3"/>
  <c r="I945" i="3" l="1"/>
  <c r="J945" i="3" s="1"/>
  <c r="G952" i="3"/>
  <c r="H952" i="3" s="1"/>
  <c r="J943" i="3"/>
  <c r="G948" i="3"/>
  <c r="H948" i="3" s="1"/>
  <c r="H944" i="3"/>
  <c r="J944" i="3"/>
  <c r="G949" i="3"/>
  <c r="I951" i="3"/>
  <c r="G950" i="3" l="1"/>
  <c r="H950" i="3" s="1"/>
  <c r="I952" i="3"/>
  <c r="J952" i="3" s="1"/>
  <c r="I948" i="3"/>
  <c r="I949" i="3"/>
  <c r="H949" i="3"/>
  <c r="J951" i="3"/>
  <c r="G956" i="3"/>
  <c r="I950" i="3" l="1"/>
  <c r="J950" i="3" s="1"/>
  <c r="G957" i="3"/>
  <c r="H957" i="3" s="1"/>
  <c r="G953" i="3"/>
  <c r="H953" i="3" s="1"/>
  <c r="J948" i="3"/>
  <c r="G954" i="3"/>
  <c r="H954" i="3" s="1"/>
  <c r="J949" i="3"/>
  <c r="H956" i="3"/>
  <c r="I956" i="3"/>
  <c r="G955" i="3" l="1"/>
  <c r="H955" i="3" s="1"/>
  <c r="I954" i="3"/>
  <c r="G959" i="3" s="1"/>
  <c r="H959" i="3" s="1"/>
  <c r="I957" i="3"/>
  <c r="J957" i="3" s="1"/>
  <c r="I953" i="3"/>
  <c r="G961" i="3"/>
  <c r="H961" i="3" s="1"/>
  <c r="J956" i="3"/>
  <c r="J954" i="3" l="1"/>
  <c r="I955" i="3"/>
  <c r="G962" i="3"/>
  <c r="H962" i="3" s="1"/>
  <c r="J953" i="3"/>
  <c r="G958" i="3"/>
  <c r="H958" i="3" s="1"/>
  <c r="I959" i="3"/>
  <c r="J959" i="3" s="1"/>
  <c r="I961" i="3"/>
  <c r="G960" i="3" l="1"/>
  <c r="H960" i="3" s="1"/>
  <c r="J955" i="3"/>
  <c r="I962" i="3"/>
  <c r="J962" i="3" s="1"/>
  <c r="G964" i="3"/>
  <c r="H964" i="3" s="1"/>
  <c r="I958" i="3"/>
  <c r="G963" i="3" s="1"/>
  <c r="H963" i="3" s="1"/>
  <c r="G966" i="3"/>
  <c r="J961" i="3"/>
  <c r="I960" i="3" l="1"/>
  <c r="G967" i="3"/>
  <c r="H967" i="3" s="1"/>
  <c r="I964" i="3"/>
  <c r="G969" i="3" s="1"/>
  <c r="H969" i="3" s="1"/>
  <c r="J958" i="3"/>
  <c r="I963" i="3"/>
  <c r="H966" i="3"/>
  <c r="I966" i="3"/>
  <c r="J960" i="3" l="1"/>
  <c r="G965" i="3"/>
  <c r="J964" i="3"/>
  <c r="I969" i="3"/>
  <c r="J969" i="3" s="1"/>
  <c r="I967" i="3"/>
  <c r="G972" i="3" s="1"/>
  <c r="G968" i="3"/>
  <c r="H968" i="3" s="1"/>
  <c r="J963" i="3"/>
  <c r="J966" i="3"/>
  <c r="G971" i="3"/>
  <c r="H971" i="3" s="1"/>
  <c r="J967" i="3" l="1"/>
  <c r="G974" i="3"/>
  <c r="H974" i="3" s="1"/>
  <c r="I965" i="3"/>
  <c r="H965" i="3"/>
  <c r="I968" i="3"/>
  <c r="J968" i="3" s="1"/>
  <c r="H972" i="3"/>
  <c r="I972" i="3"/>
  <c r="I971" i="3"/>
  <c r="I974" i="3" l="1"/>
  <c r="J974" i="3" s="1"/>
  <c r="G970" i="3"/>
  <c r="H970" i="3" s="1"/>
  <c r="J965" i="3"/>
  <c r="G973" i="3"/>
  <c r="H973" i="3" s="1"/>
  <c r="J972" i="3"/>
  <c r="G977" i="3"/>
  <c r="H977" i="3" s="1"/>
  <c r="G976" i="3"/>
  <c r="I976" i="3" s="1"/>
  <c r="J976" i="3" s="1"/>
  <c r="J971" i="3"/>
  <c r="I970" i="3" l="1"/>
  <c r="I973" i="3"/>
  <c r="J973" i="3" s="1"/>
  <c r="I977" i="3"/>
  <c r="J977" i="3" s="1"/>
  <c r="H976" i="3"/>
  <c r="G975" i="3" l="1"/>
  <c r="H975" i="3" s="1"/>
  <c r="J970" i="3"/>
  <c r="I975" i="3" l="1"/>
  <c r="J975" i="3" s="1"/>
  <c r="K151" i="5" l="1"/>
  <c r="K150" i="5"/>
  <c r="K149" i="5"/>
  <c r="K148" i="5"/>
  <c r="K147" i="5"/>
  <c r="K146" i="5"/>
  <c r="K145" i="5"/>
  <c r="K144" i="5"/>
  <c r="K143" i="5"/>
  <c r="K142" i="5"/>
  <c r="K141" i="5"/>
  <c r="K140" i="5"/>
  <c r="K139" i="5"/>
  <c r="K138" i="5"/>
  <c r="K137" i="5"/>
  <c r="K136" i="5"/>
  <c r="K135" i="5"/>
  <c r="K134" i="5"/>
  <c r="K133" i="5"/>
  <c r="K132" i="5"/>
  <c r="K131" i="5"/>
  <c r="K130" i="5"/>
  <c r="K129" i="5"/>
  <c r="K128" i="5"/>
  <c r="K127" i="5"/>
  <c r="K126" i="5"/>
  <c r="K125" i="5"/>
  <c r="K124" i="5"/>
  <c r="K123" i="5"/>
  <c r="K122" i="5"/>
  <c r="K121" i="5"/>
  <c r="K120" i="5"/>
  <c r="K119" i="5"/>
  <c r="K118" i="5"/>
  <c r="K117" i="5"/>
  <c r="K116" i="5"/>
  <c r="K115" i="5"/>
  <c r="K114" i="5"/>
  <c r="K113" i="5"/>
  <c r="K112" i="5"/>
  <c r="K111" i="5"/>
  <c r="K110" i="5"/>
  <c r="K109" i="5"/>
  <c r="K108" i="5"/>
  <c r="K107" i="5"/>
  <c r="K106" i="5"/>
  <c r="K104" i="5"/>
  <c r="K102" i="5"/>
  <c r="K100" i="5"/>
  <c r="K99" i="5"/>
  <c r="K98" i="5"/>
  <c r="K97" i="5"/>
  <c r="K96" i="5"/>
  <c r="K95" i="5"/>
  <c r="K94" i="5"/>
  <c r="K92" i="5"/>
  <c r="K90" i="5"/>
  <c r="K89" i="5"/>
  <c r="K88" i="5"/>
  <c r="K87" i="5"/>
  <c r="K86" i="5"/>
  <c r="K84" i="5"/>
  <c r="K82" i="5"/>
  <c r="K81" i="5"/>
  <c r="K80" i="5"/>
  <c r="K78" i="5"/>
  <c r="K76" i="5"/>
  <c r="K74" i="5"/>
  <c r="K72" i="5"/>
  <c r="K70" i="5"/>
  <c r="K68" i="5"/>
  <c r="K66" i="5"/>
  <c r="K64" i="5"/>
  <c r="K62" i="5"/>
  <c r="K61" i="5"/>
  <c r="K60" i="5"/>
  <c r="K59" i="5"/>
  <c r="K58" i="5"/>
  <c r="K57" i="5"/>
  <c r="K55" i="5"/>
  <c r="K54" i="5"/>
  <c r="K53" i="5"/>
  <c r="K51" i="5"/>
  <c r="K49" i="5"/>
  <c r="K48" i="5"/>
  <c r="K47" i="5"/>
  <c r="K46" i="5"/>
  <c r="K44" i="5"/>
  <c r="K42" i="5"/>
  <c r="K40" i="5"/>
  <c r="K39" i="5"/>
  <c r="K38" i="5"/>
  <c r="K36" i="5"/>
  <c r="K34" i="5"/>
  <c r="K31" i="5"/>
  <c r="K30" i="5"/>
  <c r="K29" i="5"/>
  <c r="K26" i="5"/>
  <c r="K25" i="5"/>
  <c r="K24" i="5"/>
  <c r="K22" i="5"/>
  <c r="K20" i="5"/>
  <c r="K18" i="5"/>
  <c r="K15" i="5"/>
  <c r="Z151" i="5" a="1"/>
  <c r="Z151" i="5" s="1"/>
  <c r="Z150" i="5" a="1"/>
  <c r="Z150" i="5" s="1"/>
  <c r="Z149" i="5" a="1"/>
  <c r="Z149" i="5" s="1"/>
  <c r="Z148" i="5" a="1"/>
  <c r="Z148" i="5" s="1"/>
  <c r="Z147" i="5" a="1"/>
  <c r="Z147" i="5" s="1"/>
  <c r="Z146" i="5" a="1"/>
  <c r="Z146" i="5" s="1"/>
  <c r="Z145" i="5" a="1"/>
  <c r="Z145" i="5" s="1"/>
  <c r="Z144" i="5" a="1"/>
  <c r="Z144" i="5" s="1"/>
  <c r="Z143" i="5" a="1"/>
  <c r="Z143" i="5" s="1"/>
  <c r="Z142" i="5" a="1"/>
  <c r="Z142" i="5" s="1"/>
  <c r="Z141" i="5" a="1"/>
  <c r="Z141" i="5" s="1"/>
  <c r="Z140" i="5" a="1"/>
  <c r="Z140" i="5" s="1"/>
  <c r="Z139" i="5" a="1"/>
  <c r="Z139" i="5" s="1"/>
  <c r="Z138" i="5" a="1"/>
  <c r="Z138" i="5" s="1"/>
  <c r="Z137" i="5" a="1"/>
  <c r="Z137" i="5" s="1"/>
  <c r="Z136" i="5" a="1"/>
  <c r="Z136" i="5" s="1"/>
  <c r="Z135" i="5" a="1"/>
  <c r="Z135" i="5" s="1"/>
  <c r="Z134" i="5" a="1"/>
  <c r="Z134" i="5" s="1"/>
  <c r="Z133" i="5" a="1"/>
  <c r="Z133" i="5" s="1"/>
  <c r="Z132" i="5" a="1"/>
  <c r="Z132" i="5" s="1"/>
  <c r="Z131" i="5" a="1"/>
  <c r="Z131" i="5" s="1"/>
  <c r="Z130" i="5" a="1"/>
  <c r="Z130" i="5" s="1"/>
  <c r="Z129" i="5" a="1"/>
  <c r="Z129" i="5" s="1"/>
  <c r="Z128" i="5" a="1"/>
  <c r="Z128" i="5" s="1"/>
  <c r="Z127" i="5" a="1"/>
  <c r="Z127" i="5" s="1"/>
  <c r="Z126" i="5" a="1"/>
  <c r="Z126" i="5" s="1"/>
  <c r="Z125" i="5" a="1"/>
  <c r="Z125" i="5" s="1"/>
  <c r="Z124" i="5" a="1"/>
  <c r="Z124" i="5" s="1"/>
  <c r="Z123" i="5" a="1"/>
  <c r="Z123" i="5" s="1"/>
  <c r="Z122" i="5" a="1"/>
  <c r="Z122" i="5" s="1"/>
  <c r="Z121" i="5" a="1"/>
  <c r="Z121" i="5" s="1"/>
  <c r="Z120" i="5" a="1"/>
  <c r="Z120" i="5" s="1"/>
  <c r="Z119" i="5" a="1"/>
  <c r="Z119" i="5" s="1"/>
  <c r="Z118" i="5" a="1"/>
  <c r="Z118" i="5" s="1"/>
  <c r="Z117" i="5" a="1"/>
  <c r="Z117" i="5" s="1"/>
  <c r="Z116" i="5" a="1"/>
  <c r="Z116" i="5" s="1"/>
  <c r="Z115" i="5" a="1"/>
  <c r="Z115" i="5" s="1"/>
  <c r="Z114" i="5" a="1"/>
  <c r="Z114" i="5" s="1"/>
  <c r="Z113" i="5" a="1"/>
  <c r="Z113" i="5" s="1"/>
  <c r="Z112" i="5" a="1"/>
  <c r="Z112" i="5" s="1"/>
  <c r="Z111" i="5" a="1"/>
  <c r="Z111" i="5" s="1"/>
  <c r="Z110" i="5" a="1"/>
  <c r="Z110" i="5" s="1"/>
  <c r="Z109" i="5" a="1"/>
  <c r="Z109" i="5" s="1"/>
  <c r="Z108" i="5" a="1"/>
  <c r="Z108" i="5" s="1"/>
  <c r="Z107" i="5" a="1"/>
  <c r="Z107" i="5" s="1"/>
  <c r="Z106" i="5" a="1"/>
  <c r="Z106" i="5" s="1"/>
  <c r="Z104" i="5" a="1"/>
  <c r="Z104" i="5" s="1"/>
  <c r="Z102" i="5" a="1"/>
  <c r="Z102" i="5" s="1"/>
  <c r="Z100" i="5" a="1"/>
  <c r="Z100" i="5" s="1"/>
  <c r="Z99" i="5" a="1"/>
  <c r="Z99" i="5" s="1"/>
  <c r="Z98" i="5" a="1"/>
  <c r="Z98" i="5" s="1"/>
  <c r="Z97" i="5" a="1"/>
  <c r="Z97" i="5" s="1"/>
  <c r="Z96" i="5" a="1"/>
  <c r="Z96" i="5" s="1"/>
  <c r="Z95" i="5" a="1"/>
  <c r="Z95" i="5" s="1"/>
  <c r="Z94" i="5" a="1"/>
  <c r="Z94" i="5" s="1"/>
  <c r="Z92" i="5" a="1"/>
  <c r="Z92" i="5" s="1"/>
  <c r="Z91" i="5" a="1"/>
  <c r="Z91" i="5" s="1"/>
  <c r="Z90" i="5" a="1"/>
  <c r="Z90" i="5" s="1"/>
  <c r="Z89" i="5" a="1"/>
  <c r="Z89" i="5" s="1"/>
  <c r="Z88" i="5" a="1"/>
  <c r="Z88" i="5" s="1"/>
  <c r="Z87" i="5" a="1"/>
  <c r="Z87" i="5" s="1"/>
  <c r="Z86" i="5" a="1"/>
  <c r="Z86" i="5" s="1"/>
  <c r="Z84" i="5" a="1"/>
  <c r="Z84" i="5" s="1"/>
  <c r="Z82" i="5" a="1"/>
  <c r="Z82" i="5" s="1"/>
  <c r="Z81" i="5" a="1"/>
  <c r="Z81" i="5" s="1"/>
  <c r="Z80" i="5" a="1"/>
  <c r="Z80" i="5" s="1"/>
  <c r="Z78" i="5" a="1"/>
  <c r="Z78" i="5" s="1"/>
  <c r="Z76" i="5" a="1"/>
  <c r="Z76" i="5" s="1"/>
  <c r="Z74" i="5" a="1"/>
  <c r="Z74" i="5" s="1"/>
  <c r="Z72" i="5" a="1"/>
  <c r="Z72" i="5" s="1"/>
  <c r="Z70" i="5" a="1"/>
  <c r="Z70" i="5" s="1"/>
  <c r="Z68" i="5" a="1"/>
  <c r="Z68" i="5" s="1"/>
  <c r="Z66" i="5" a="1"/>
  <c r="Z66" i="5" s="1"/>
  <c r="Z64" i="5" a="1"/>
  <c r="Z64" i="5" s="1"/>
  <c r="Z62" i="5" a="1"/>
  <c r="Z62" i="5" s="1"/>
  <c r="Z61" i="5" a="1"/>
  <c r="Z61" i="5" s="1"/>
  <c r="Z60" i="5" a="1"/>
  <c r="Z60" i="5" s="1"/>
  <c r="Z59" i="5" a="1"/>
  <c r="Z59" i="5" s="1"/>
  <c r="Z58" i="5" a="1"/>
  <c r="Z58" i="5" s="1"/>
  <c r="Z57" i="5" a="1"/>
  <c r="Z57" i="5" s="1"/>
  <c r="Z55" i="5" a="1"/>
  <c r="Z55" i="5" s="1"/>
  <c r="Z54" i="5" a="1"/>
  <c r="Z54" i="5" s="1"/>
  <c r="Z53" i="5" a="1"/>
  <c r="Z53" i="5" s="1"/>
  <c r="Z51" i="5" a="1"/>
  <c r="Z51" i="5" s="1"/>
  <c r="Z49" i="5" a="1"/>
  <c r="Z49" i="5" s="1"/>
  <c r="Z48" i="5" a="1"/>
  <c r="Z48" i="5" s="1"/>
  <c r="Z47" i="5" a="1"/>
  <c r="Z47" i="5" s="1"/>
  <c r="Z46" i="5" a="1"/>
  <c r="Z46" i="5" s="1"/>
  <c r="Z44" i="5" a="1"/>
  <c r="Z44" i="5" s="1"/>
  <c r="Z42" i="5" a="1"/>
  <c r="Z42" i="5" s="1"/>
  <c r="Z40" i="5" a="1"/>
  <c r="Z40" i="5" s="1"/>
  <c r="Z39" i="5" a="1"/>
  <c r="Z39" i="5" s="1"/>
  <c r="Z38" i="5" a="1"/>
  <c r="Z38" i="5" s="1"/>
  <c r="Z36" i="5" a="1"/>
  <c r="Z36" i="5" s="1"/>
  <c r="Z34" i="5" a="1"/>
  <c r="Z34" i="5" s="1"/>
  <c r="Z31" i="5" a="1"/>
  <c r="Z31" i="5" s="1"/>
  <c r="Z30" i="5" a="1"/>
  <c r="Z30" i="5" s="1"/>
  <c r="Z29" i="5" a="1"/>
  <c r="Z29" i="5" s="1"/>
  <c r="Z26" i="5" a="1"/>
  <c r="Z26" i="5" s="1"/>
  <c r="Z25" i="5" a="1"/>
  <c r="Z25" i="5" s="1"/>
  <c r="Z24" i="5" a="1"/>
  <c r="Z24" i="5" s="1"/>
  <c r="Z22" i="5" a="1"/>
  <c r="Z22" i="5" s="1"/>
  <c r="Z20" i="5" a="1"/>
  <c r="Z20" i="5" s="1"/>
  <c r="Z18" i="5" a="1"/>
  <c r="Z18" i="5" s="1"/>
  <c r="Z15" i="5" a="1"/>
  <c r="Z15" i="5" s="1"/>
  <c r="Z14" i="5" a="1"/>
  <c r="Z14" i="5" s="1"/>
  <c r="G153" i="5" l="1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52" i="5"/>
  <c r="H95" i="5" l="1"/>
  <c r="H105" i="5"/>
  <c r="H104" i="5"/>
  <c r="H103" i="5"/>
  <c r="H102" i="5"/>
  <c r="H101" i="5"/>
  <c r="H100" i="5"/>
  <c r="H99" i="5"/>
  <c r="H98" i="5"/>
  <c r="H97" i="5"/>
  <c r="H96" i="5"/>
  <c r="H94" i="5"/>
  <c r="H93" i="5"/>
  <c r="H92" i="5"/>
  <c r="H91" i="5"/>
  <c r="H90" i="5"/>
  <c r="H89" i="5"/>
  <c r="H88" i="5"/>
  <c r="H87" i="5"/>
  <c r="H86" i="5"/>
  <c r="H85" i="5"/>
  <c r="H84" i="5"/>
  <c r="H83" i="5"/>
  <c r="H82" i="5"/>
  <c r="H81" i="5"/>
  <c r="H80" i="5"/>
  <c r="H79" i="5"/>
  <c r="H78" i="5"/>
  <c r="H77" i="5"/>
  <c r="H76" i="5"/>
  <c r="H75" i="5"/>
  <c r="H74" i="5"/>
  <c r="H73" i="5"/>
  <c r="H72" i="5"/>
  <c r="H71" i="5"/>
  <c r="H70" i="5"/>
  <c r="H69" i="5"/>
  <c r="H68" i="5"/>
  <c r="H67" i="5"/>
  <c r="H66" i="5"/>
  <c r="H65" i="5"/>
  <c r="H64" i="5"/>
  <c r="H63" i="5"/>
  <c r="H62" i="5"/>
  <c r="H61" i="5"/>
  <c r="H60" i="5"/>
  <c r="H59" i="5"/>
  <c r="H58" i="5"/>
  <c r="H57" i="5"/>
  <c r="H56" i="5"/>
  <c r="H55" i="5"/>
  <c r="H54" i="5"/>
  <c r="H53" i="5"/>
  <c r="H52" i="5"/>
  <c r="H51" i="5"/>
  <c r="H50" i="5"/>
  <c r="H49" i="5"/>
  <c r="H48" i="5"/>
  <c r="H47" i="5"/>
  <c r="H46" i="5"/>
  <c r="H45" i="5"/>
  <c r="H44" i="5"/>
  <c r="H43" i="5"/>
  <c r="H42" i="5"/>
  <c r="H41" i="5"/>
  <c r="H40" i="5"/>
  <c r="H39" i="5"/>
  <c r="H38" i="5"/>
  <c r="H37" i="5"/>
  <c r="H36" i="5"/>
  <c r="H35" i="5"/>
  <c r="H34" i="5"/>
  <c r="H33" i="5"/>
  <c r="H32" i="5"/>
  <c r="H31" i="5"/>
  <c r="H30" i="5"/>
  <c r="H29" i="5"/>
  <c r="H28" i="5"/>
  <c r="H27" i="5"/>
  <c r="H26" i="5"/>
  <c r="H25" i="5"/>
  <c r="H24" i="5"/>
  <c r="H23" i="5"/>
  <c r="H22" i="5"/>
  <c r="H21" i="5"/>
  <c r="J21" i="5" s="1"/>
  <c r="H20" i="5"/>
  <c r="J20" i="5" s="1"/>
  <c r="H19" i="5"/>
  <c r="J19" i="5" s="1"/>
  <c r="H18" i="5"/>
  <c r="J18" i="5" s="1"/>
  <c r="H17" i="5"/>
  <c r="J17" i="5" s="1"/>
  <c r="H16" i="5"/>
  <c r="J16" i="5" s="1"/>
  <c r="H15" i="5"/>
  <c r="J15" i="5" s="1"/>
  <c r="I16" i="5" l="1"/>
  <c r="I97" i="5"/>
  <c r="I25" i="5"/>
  <c r="I33" i="5"/>
  <c r="I41" i="5"/>
  <c r="I49" i="5"/>
  <c r="I57" i="5"/>
  <c r="I65" i="5"/>
  <c r="I73" i="5"/>
  <c r="I81" i="5"/>
  <c r="I89" i="5"/>
  <c r="I98" i="5"/>
  <c r="I40" i="5"/>
  <c r="I88" i="5"/>
  <c r="I18" i="5"/>
  <c r="I34" i="5"/>
  <c r="I42" i="5"/>
  <c r="I50" i="5"/>
  <c r="I58" i="5"/>
  <c r="I66" i="5"/>
  <c r="I74" i="5"/>
  <c r="I82" i="5"/>
  <c r="I90" i="5"/>
  <c r="I99" i="5"/>
  <c r="I26" i="5"/>
  <c r="I19" i="5"/>
  <c r="I27" i="5"/>
  <c r="I35" i="5"/>
  <c r="I43" i="5"/>
  <c r="I51" i="5"/>
  <c r="I59" i="5"/>
  <c r="I67" i="5"/>
  <c r="I75" i="5"/>
  <c r="I83" i="5"/>
  <c r="I91" i="5"/>
  <c r="K91" i="5" s="1"/>
  <c r="I100" i="5"/>
  <c r="I32" i="5"/>
  <c r="I105" i="5"/>
  <c r="I28" i="5"/>
  <c r="I36" i="5"/>
  <c r="I44" i="5"/>
  <c r="I52" i="5"/>
  <c r="I60" i="5"/>
  <c r="I68" i="5"/>
  <c r="I76" i="5"/>
  <c r="I84" i="5"/>
  <c r="I92" i="5"/>
  <c r="I101" i="5"/>
  <c r="I48" i="5"/>
  <c r="I80" i="5"/>
  <c r="I20" i="5"/>
  <c r="I37" i="5"/>
  <c r="I45" i="5"/>
  <c r="I53" i="5"/>
  <c r="I61" i="5"/>
  <c r="I69" i="5"/>
  <c r="I77" i="5"/>
  <c r="I85" i="5"/>
  <c r="I93" i="5"/>
  <c r="I102" i="5"/>
  <c r="I64" i="5"/>
  <c r="I30" i="5"/>
  <c r="I54" i="5"/>
  <c r="I70" i="5"/>
  <c r="I86" i="5"/>
  <c r="I94" i="5"/>
  <c r="I103" i="5"/>
  <c r="I24" i="5"/>
  <c r="I56" i="5"/>
  <c r="I72" i="5"/>
  <c r="I17" i="5"/>
  <c r="I21" i="5"/>
  <c r="I29" i="5"/>
  <c r="I38" i="5"/>
  <c r="I46" i="5"/>
  <c r="I62" i="5"/>
  <c r="I78" i="5"/>
  <c r="I15" i="5"/>
  <c r="I23" i="5"/>
  <c r="I31" i="5"/>
  <c r="I39" i="5"/>
  <c r="I47" i="5"/>
  <c r="I55" i="5"/>
  <c r="I63" i="5"/>
  <c r="I71" i="5"/>
  <c r="I79" i="5"/>
  <c r="I87" i="5"/>
  <c r="I96" i="5"/>
  <c r="I104" i="5"/>
  <c r="I95" i="5"/>
  <c r="I22" i="5"/>
  <c r="H3" i="3" l="1"/>
  <c r="G52" i="3"/>
  <c r="I52" i="3" s="1"/>
  <c r="G10" i="3" l="1"/>
  <c r="G42" i="3"/>
  <c r="G44" i="3"/>
  <c r="G77" i="3"/>
  <c r="I77" i="3" s="1"/>
  <c r="G12" i="3"/>
  <c r="G46" i="3"/>
  <c r="G40" i="3"/>
  <c r="G75" i="3"/>
  <c r="I75" i="3" s="1"/>
  <c r="G34" i="3"/>
  <c r="G69" i="3"/>
  <c r="I69" i="3" s="1"/>
  <c r="G32" i="3"/>
  <c r="G67" i="3"/>
  <c r="I67" i="3" s="1"/>
  <c r="G20" i="3"/>
  <c r="G26" i="3"/>
  <c r="G61" i="3"/>
  <c r="I61" i="3" s="1"/>
  <c r="G18" i="3"/>
  <c r="G24" i="3"/>
  <c r="G59" i="3"/>
  <c r="I59" i="3" s="1"/>
  <c r="G17" i="3"/>
  <c r="G9" i="3"/>
  <c r="G39" i="3"/>
  <c r="G31" i="3"/>
  <c r="G23" i="3"/>
  <c r="G43" i="3"/>
  <c r="G74" i="3"/>
  <c r="I74" i="3" s="1"/>
  <c r="G66" i="3"/>
  <c r="I66" i="3" s="1"/>
  <c r="G58" i="3"/>
  <c r="I58" i="3" s="1"/>
  <c r="G16" i="3"/>
  <c r="G8" i="3"/>
  <c r="G38" i="3"/>
  <c r="G30" i="3"/>
  <c r="G81" i="3"/>
  <c r="I81" i="3" s="1"/>
  <c r="G73" i="3"/>
  <c r="I73" i="3" s="1"/>
  <c r="G65" i="3"/>
  <c r="I65" i="3" s="1"/>
  <c r="G57" i="3"/>
  <c r="I57" i="3" s="1"/>
  <c r="G3" i="3"/>
  <c r="I3" i="3" s="1"/>
  <c r="G82" i="3" s="1"/>
  <c r="G15" i="3"/>
  <c r="G7" i="3"/>
  <c r="G37" i="3"/>
  <c r="G29" i="3"/>
  <c r="G22" i="3"/>
  <c r="G80" i="3"/>
  <c r="I80" i="3" s="1"/>
  <c r="G72" i="3"/>
  <c r="I72" i="3" s="1"/>
  <c r="G64" i="3"/>
  <c r="I64" i="3" s="1"/>
  <c r="G56" i="3"/>
  <c r="I56" i="3" s="1"/>
  <c r="G4" i="3"/>
  <c r="G14" i="3"/>
  <c r="G6" i="3"/>
  <c r="G36" i="3"/>
  <c r="G28" i="3"/>
  <c r="G48" i="3"/>
  <c r="I48" i="3" s="1"/>
  <c r="G79" i="3"/>
  <c r="I79" i="3" s="1"/>
  <c r="G71" i="3"/>
  <c r="I71" i="3" s="1"/>
  <c r="G63" i="3"/>
  <c r="I63" i="3" s="1"/>
  <c r="G55" i="3"/>
  <c r="G21" i="3"/>
  <c r="G13" i="3"/>
  <c r="G5" i="3"/>
  <c r="G35" i="3"/>
  <c r="G27" i="3"/>
  <c r="G47" i="3"/>
  <c r="G78" i="3"/>
  <c r="I78" i="3" s="1"/>
  <c r="G70" i="3"/>
  <c r="I70" i="3" s="1"/>
  <c r="G62" i="3"/>
  <c r="I62" i="3" s="1"/>
  <c r="G54" i="3"/>
  <c r="I54" i="3" s="1"/>
  <c r="G53" i="3"/>
  <c r="I53" i="3" s="1"/>
  <c r="G19" i="3"/>
  <c r="G11" i="3"/>
  <c r="G41" i="3"/>
  <c r="G33" i="3"/>
  <c r="G25" i="3"/>
  <c r="G45" i="3"/>
  <c r="G76" i="3"/>
  <c r="I76" i="3" s="1"/>
  <c r="G68" i="3"/>
  <c r="I68" i="3" s="1"/>
  <c r="G60" i="3"/>
  <c r="I60" i="3" s="1"/>
  <c r="H4" i="3"/>
  <c r="H5" i="3"/>
  <c r="I5" i="3" s="1"/>
  <c r="H6" i="3"/>
  <c r="H7" i="3"/>
  <c r="H8" i="3"/>
  <c r="H9" i="3"/>
  <c r="H10" i="3"/>
  <c r="I10" i="3" s="1"/>
  <c r="H11" i="3"/>
  <c r="H12" i="3"/>
  <c r="H13" i="3"/>
  <c r="H14" i="3"/>
  <c r="H15" i="3"/>
  <c r="H16" i="3"/>
  <c r="I16" i="3" s="1"/>
  <c r="H17" i="3"/>
  <c r="I17" i="3" s="1"/>
  <c r="H18" i="3"/>
  <c r="H19" i="3"/>
  <c r="I19" i="3" s="1"/>
  <c r="H20" i="3"/>
  <c r="H21" i="3"/>
  <c r="H22" i="3"/>
  <c r="I22" i="3" s="1"/>
  <c r="H23" i="3"/>
  <c r="I23" i="3" s="1"/>
  <c r="H24" i="3"/>
  <c r="I24" i="3" s="1"/>
  <c r="H25" i="3"/>
  <c r="H26" i="3"/>
  <c r="H27" i="3"/>
  <c r="H28" i="3"/>
  <c r="I28" i="3" s="1"/>
  <c r="H29" i="3"/>
  <c r="H30" i="3"/>
  <c r="H31" i="3"/>
  <c r="H32" i="3"/>
  <c r="I32" i="3" s="1"/>
  <c r="H33" i="3"/>
  <c r="H34" i="3"/>
  <c r="I34" i="3" s="1"/>
  <c r="H35" i="3"/>
  <c r="I35" i="3" s="1"/>
  <c r="H36" i="3"/>
  <c r="I36" i="3" s="1"/>
  <c r="H37" i="3"/>
  <c r="H38" i="3"/>
  <c r="I38" i="3" s="1"/>
  <c r="H39" i="3"/>
  <c r="H40" i="3"/>
  <c r="I40" i="3" s="1"/>
  <c r="H41" i="3"/>
  <c r="H42" i="3"/>
  <c r="I42" i="3" s="1"/>
  <c r="H43" i="3"/>
  <c r="H44" i="3"/>
  <c r="I44" i="3" s="1"/>
  <c r="H45" i="3"/>
  <c r="H46" i="3"/>
  <c r="I46" i="3" s="1"/>
  <c r="H47" i="3"/>
  <c r="I30" i="3" l="1"/>
  <c r="I14" i="3"/>
  <c r="I37" i="3"/>
  <c r="I27" i="3"/>
  <c r="I11" i="3"/>
  <c r="I25" i="3"/>
  <c r="G104" i="3" s="1"/>
  <c r="I104" i="3" s="1"/>
  <c r="J104" i="3" s="1"/>
  <c r="I9" i="3"/>
  <c r="G88" i="3" s="1"/>
  <c r="I88" i="3" s="1"/>
  <c r="J88" i="3" s="1"/>
  <c r="I6" i="3"/>
  <c r="G85" i="3" s="1"/>
  <c r="I85" i="3" s="1"/>
  <c r="J85" i="3" s="1"/>
  <c r="I45" i="3"/>
  <c r="I29" i="3"/>
  <c r="I21" i="3"/>
  <c r="I13" i="3"/>
  <c r="G92" i="3" s="1"/>
  <c r="I92" i="3" s="1"/>
  <c r="J92" i="3" s="1"/>
  <c r="I43" i="3"/>
  <c r="G122" i="3" s="1"/>
  <c r="I122" i="3" s="1"/>
  <c r="J122" i="3" s="1"/>
  <c r="I18" i="3"/>
  <c r="G97" i="3" s="1"/>
  <c r="I97" i="3" s="1"/>
  <c r="J97" i="3" s="1"/>
  <c r="I8" i="3"/>
  <c r="G87" i="3" s="1"/>
  <c r="I87" i="3" s="1"/>
  <c r="J87" i="3" s="1"/>
  <c r="I47" i="3"/>
  <c r="G126" i="3" s="1"/>
  <c r="I126" i="3" s="1"/>
  <c r="J126" i="3" s="1"/>
  <c r="I39" i="3"/>
  <c r="I31" i="3"/>
  <c r="G110" i="3" s="1"/>
  <c r="I110" i="3" s="1"/>
  <c r="J110" i="3" s="1"/>
  <c r="I15" i="3"/>
  <c r="I7" i="3"/>
  <c r="G86" i="3" s="1"/>
  <c r="I86" i="3" s="1"/>
  <c r="J86" i="3" s="1"/>
  <c r="I55" i="3"/>
  <c r="I20" i="3"/>
  <c r="G99" i="3" s="1"/>
  <c r="I99" i="3" s="1"/>
  <c r="J99" i="3" s="1"/>
  <c r="I12" i="3"/>
  <c r="G91" i="3" s="1"/>
  <c r="I91" i="3" s="1"/>
  <c r="J91" i="3" s="1"/>
  <c r="I26" i="3"/>
  <c r="G105" i="3" s="1"/>
  <c r="I105" i="3" s="1"/>
  <c r="J105" i="3" s="1"/>
  <c r="I41" i="3"/>
  <c r="I33" i="3"/>
  <c r="G109" i="3"/>
  <c r="I109" i="3" s="1"/>
  <c r="J109" i="3" s="1"/>
  <c r="G90" i="3"/>
  <c r="I90" i="3" s="1"/>
  <c r="J90" i="3" s="1"/>
  <c r="G100" i="3"/>
  <c r="I100" i="3" s="1"/>
  <c r="J100" i="3" s="1"/>
  <c r="I4" i="3"/>
  <c r="G83" i="3" s="1"/>
  <c r="I83" i="3" s="1"/>
  <c r="J83" i="3" s="1"/>
  <c r="G120" i="3"/>
  <c r="I120" i="3" s="1"/>
  <c r="J120" i="3" s="1"/>
  <c r="G117" i="3"/>
  <c r="H117" i="3" s="1"/>
  <c r="G94" i="3"/>
  <c r="I94" i="3" s="1"/>
  <c r="J94" i="3" s="1"/>
  <c r="G125" i="3"/>
  <c r="I125" i="3" s="1"/>
  <c r="J125" i="3" s="1"/>
  <c r="G124" i="3"/>
  <c r="I124" i="3" s="1"/>
  <c r="J124" i="3" s="1"/>
  <c r="G108" i="3"/>
  <c r="I108" i="3" s="1"/>
  <c r="J108" i="3" s="1"/>
  <c r="G127" i="3"/>
  <c r="H127" i="3" s="1"/>
  <c r="G101" i="3"/>
  <c r="I101" i="3" s="1"/>
  <c r="J101" i="3" s="1"/>
  <c r="G115" i="3"/>
  <c r="I115" i="3" s="1"/>
  <c r="J115" i="3" s="1"/>
  <c r="G121" i="3"/>
  <c r="H121" i="3" s="1"/>
  <c r="G113" i="3"/>
  <c r="I113" i="3" s="1"/>
  <c r="J113" i="3" s="1"/>
  <c r="G89" i="3"/>
  <c r="I89" i="3" s="1"/>
  <c r="J89" i="3" s="1"/>
  <c r="G111" i="3"/>
  <c r="I111" i="3" s="1"/>
  <c r="J111" i="3" s="1"/>
  <c r="G103" i="3"/>
  <c r="I103" i="3" s="1"/>
  <c r="J103" i="3" s="1"/>
  <c r="G96" i="3"/>
  <c r="I96" i="3" s="1"/>
  <c r="J96" i="3" s="1"/>
  <c r="G116" i="3"/>
  <c r="I116" i="3" s="1"/>
  <c r="J116" i="3" s="1"/>
  <c r="G93" i="3"/>
  <c r="I93" i="3" s="1"/>
  <c r="J93" i="3" s="1"/>
  <c r="G95" i="3"/>
  <c r="I95" i="3" s="1"/>
  <c r="J95" i="3" s="1"/>
  <c r="G107" i="3"/>
  <c r="I107" i="3" s="1"/>
  <c r="J107" i="3" s="1"/>
  <c r="G84" i="3"/>
  <c r="I84" i="3" s="1"/>
  <c r="J84" i="3" s="1"/>
  <c r="G114" i="3"/>
  <c r="I114" i="3" s="1"/>
  <c r="J114" i="3" s="1"/>
  <c r="G98" i="3"/>
  <c r="I98" i="3" s="1"/>
  <c r="J98" i="3" s="1"/>
  <c r="G135" i="3"/>
  <c r="H135" i="3" s="1"/>
  <c r="G137" i="3"/>
  <c r="I137" i="3" s="1"/>
  <c r="J137" i="3" s="1"/>
  <c r="G139" i="3"/>
  <c r="H139" i="3" s="1"/>
  <c r="G141" i="3"/>
  <c r="H141" i="3" s="1"/>
  <c r="G157" i="3"/>
  <c r="H157" i="3" s="1"/>
  <c r="G129" i="3"/>
  <c r="I129" i="3" s="1"/>
  <c r="J129" i="3" s="1"/>
  <c r="G134" i="3"/>
  <c r="I134" i="3" s="1"/>
  <c r="J134" i="3" s="1"/>
  <c r="G119" i="3"/>
  <c r="I119" i="3" s="1"/>
  <c r="J119" i="3" s="1"/>
  <c r="G143" i="3"/>
  <c r="I143" i="3" s="1"/>
  <c r="J143" i="3" s="1"/>
  <c r="G138" i="3"/>
  <c r="I138" i="3" s="1"/>
  <c r="J138" i="3" s="1"/>
  <c r="G140" i="3"/>
  <c r="I140" i="3" s="1"/>
  <c r="J140" i="3" s="1"/>
  <c r="G132" i="3"/>
  <c r="H132" i="3" s="1"/>
  <c r="G151" i="3"/>
  <c r="I151" i="3" s="1"/>
  <c r="J151" i="3" s="1"/>
  <c r="G146" i="3"/>
  <c r="I146" i="3" s="1"/>
  <c r="J146" i="3" s="1"/>
  <c r="G154" i="3"/>
  <c r="H154" i="3" s="1"/>
  <c r="G156" i="3"/>
  <c r="I156" i="3" s="1"/>
  <c r="J156" i="3" s="1"/>
  <c r="G144" i="3"/>
  <c r="I144" i="3" s="1"/>
  <c r="J144" i="3" s="1"/>
  <c r="G152" i="3"/>
  <c r="I152" i="3" s="1"/>
  <c r="J152" i="3" s="1"/>
  <c r="G130" i="3"/>
  <c r="I130" i="3" s="1"/>
  <c r="J130" i="3" s="1"/>
  <c r="G142" i="3"/>
  <c r="I142" i="3" s="1"/>
  <c r="J142" i="3" s="1"/>
  <c r="G145" i="3"/>
  <c r="I145" i="3" s="1"/>
  <c r="J145" i="3" s="1"/>
  <c r="G147" i="3"/>
  <c r="I147" i="3" s="1"/>
  <c r="J147" i="3" s="1"/>
  <c r="I82" i="3"/>
  <c r="J82" i="3" s="1"/>
  <c r="G128" i="3"/>
  <c r="I128" i="3" s="1"/>
  <c r="J128" i="3" s="1"/>
  <c r="G148" i="3"/>
  <c r="I148" i="3" s="1"/>
  <c r="J148" i="3" s="1"/>
  <c r="G150" i="3"/>
  <c r="H150" i="3" s="1"/>
  <c r="G153" i="3"/>
  <c r="I153" i="3" s="1"/>
  <c r="J153" i="3" s="1"/>
  <c r="G155" i="3"/>
  <c r="I155" i="3" s="1"/>
  <c r="J155" i="3" s="1"/>
  <c r="G136" i="3"/>
  <c r="I136" i="3" s="1"/>
  <c r="J136" i="3" s="1"/>
  <c r="G149" i="3"/>
  <c r="I149" i="3" s="1"/>
  <c r="J149" i="3" s="1"/>
  <c r="G133" i="3"/>
  <c r="I133" i="3" s="1"/>
  <c r="J133" i="3" s="1"/>
  <c r="G106" i="3"/>
  <c r="I106" i="3" s="1"/>
  <c r="J106" i="3" s="1"/>
  <c r="G123" i="3"/>
  <c r="I123" i="3" s="1"/>
  <c r="J123" i="3" s="1"/>
  <c r="G112" i="3"/>
  <c r="I112" i="3" s="1"/>
  <c r="J112" i="3" s="1"/>
  <c r="G118" i="3"/>
  <c r="I118" i="3" s="1"/>
  <c r="J118" i="3" s="1"/>
  <c r="G102" i="3"/>
  <c r="I102" i="3" s="1"/>
  <c r="J102" i="3" s="1"/>
  <c r="B917" i="3"/>
  <c r="B916" i="3"/>
  <c r="B915" i="3"/>
  <c r="B914" i="3"/>
  <c r="B913" i="3"/>
  <c r="B912" i="3"/>
  <c r="B911" i="3"/>
  <c r="B910" i="3"/>
  <c r="B909" i="3"/>
  <c r="B908" i="3"/>
  <c r="B907" i="3"/>
  <c r="B906" i="3"/>
  <c r="B905" i="3"/>
  <c r="B904" i="3"/>
  <c r="B903" i="3"/>
  <c r="B902" i="3"/>
  <c r="B901" i="3"/>
  <c r="B900" i="3"/>
  <c r="B899" i="3"/>
  <c r="B898" i="3"/>
  <c r="B897" i="3"/>
  <c r="B896" i="3"/>
  <c r="B895" i="3"/>
  <c r="B894" i="3"/>
  <c r="B893" i="3"/>
  <c r="B892" i="3"/>
  <c r="B891" i="3"/>
  <c r="B890" i="3"/>
  <c r="B889" i="3"/>
  <c r="B888" i="3"/>
  <c r="B887" i="3"/>
  <c r="B886" i="3"/>
  <c r="B885" i="3"/>
  <c r="B884" i="3"/>
  <c r="B883" i="3"/>
  <c r="B882" i="3"/>
  <c r="B881" i="3"/>
  <c r="B880" i="3"/>
  <c r="B879" i="3"/>
  <c r="B878" i="3"/>
  <c r="B877" i="3"/>
  <c r="B876" i="3"/>
  <c r="B875" i="3"/>
  <c r="B874" i="3"/>
  <c r="B873" i="3"/>
  <c r="B872" i="3"/>
  <c r="B871" i="3"/>
  <c r="B870" i="3"/>
  <c r="B869" i="3"/>
  <c r="B868" i="3"/>
  <c r="B867" i="3"/>
  <c r="B866" i="3"/>
  <c r="B865" i="3"/>
  <c r="B864" i="3"/>
  <c r="B863" i="3"/>
  <c r="B862" i="3"/>
  <c r="B861" i="3"/>
  <c r="B860" i="3"/>
  <c r="B859" i="3"/>
  <c r="B858" i="3"/>
  <c r="B857" i="3"/>
  <c r="B856" i="3"/>
  <c r="B855" i="3"/>
  <c r="B854" i="3"/>
  <c r="B853" i="3"/>
  <c r="B852" i="3"/>
  <c r="B851" i="3"/>
  <c r="B850" i="3"/>
  <c r="B849" i="3"/>
  <c r="B848" i="3"/>
  <c r="B847" i="3"/>
  <c r="B846" i="3"/>
  <c r="B845" i="3"/>
  <c r="B844" i="3"/>
  <c r="B843" i="3"/>
  <c r="B842" i="3"/>
  <c r="B841" i="3"/>
  <c r="B840" i="3"/>
  <c r="B839" i="3"/>
  <c r="B838" i="3"/>
  <c r="B837" i="3"/>
  <c r="B836" i="3"/>
  <c r="B835" i="3"/>
  <c r="B834" i="3"/>
  <c r="B833" i="3"/>
  <c r="B832" i="3"/>
  <c r="B831" i="3"/>
  <c r="B830" i="3"/>
  <c r="B829" i="3"/>
  <c r="B828" i="3"/>
  <c r="B827" i="3"/>
  <c r="B826" i="3"/>
  <c r="B825" i="3"/>
  <c r="B824" i="3"/>
  <c r="B823" i="3"/>
  <c r="B822" i="3"/>
  <c r="B821" i="3"/>
  <c r="B820" i="3"/>
  <c r="B819" i="3"/>
  <c r="B818" i="3"/>
  <c r="B817" i="3"/>
  <c r="B816" i="3"/>
  <c r="B815" i="3"/>
  <c r="B814" i="3"/>
  <c r="B813" i="3"/>
  <c r="B812" i="3"/>
  <c r="B811" i="3"/>
  <c r="B810" i="3"/>
  <c r="B809" i="3"/>
  <c r="B808" i="3"/>
  <c r="B807" i="3"/>
  <c r="B806" i="3"/>
  <c r="B805" i="3"/>
  <c r="B804" i="3"/>
  <c r="B803" i="3"/>
  <c r="B802" i="3"/>
  <c r="B801" i="3"/>
  <c r="B800" i="3"/>
  <c r="B799" i="3"/>
  <c r="B798" i="3"/>
  <c r="B797" i="3"/>
  <c r="B796" i="3"/>
  <c r="B795" i="3"/>
  <c r="B794" i="3"/>
  <c r="B793" i="3"/>
  <c r="B792" i="3"/>
  <c r="B791" i="3"/>
  <c r="B790" i="3"/>
  <c r="B789" i="3"/>
  <c r="B788" i="3"/>
  <c r="B787" i="3"/>
  <c r="B786" i="3"/>
  <c r="B785" i="3"/>
  <c r="B784" i="3"/>
  <c r="B783" i="3"/>
  <c r="B782" i="3"/>
  <c r="B781" i="3"/>
  <c r="B780" i="3"/>
  <c r="B779" i="3"/>
  <c r="B778" i="3"/>
  <c r="B777" i="3"/>
  <c r="B776" i="3"/>
  <c r="B775" i="3"/>
  <c r="B774" i="3"/>
  <c r="B773" i="3"/>
  <c r="B772" i="3"/>
  <c r="B771" i="3"/>
  <c r="B770" i="3"/>
  <c r="B769" i="3"/>
  <c r="B768" i="3"/>
  <c r="B767" i="3"/>
  <c r="B766" i="3"/>
  <c r="B765" i="3"/>
  <c r="B764" i="3"/>
  <c r="B763" i="3"/>
  <c r="B762" i="3"/>
  <c r="B761" i="3"/>
  <c r="B760" i="3"/>
  <c r="B759" i="3"/>
  <c r="B758" i="3"/>
  <c r="B757" i="3"/>
  <c r="B756" i="3"/>
  <c r="B755" i="3"/>
  <c r="B754" i="3"/>
  <c r="B753" i="3"/>
  <c r="B752" i="3"/>
  <c r="B751" i="3"/>
  <c r="B750" i="3"/>
  <c r="B749" i="3"/>
  <c r="B748" i="3"/>
  <c r="B747" i="3"/>
  <c r="B746" i="3"/>
  <c r="B745" i="3"/>
  <c r="B744" i="3"/>
  <c r="B743" i="3"/>
  <c r="B742" i="3"/>
  <c r="B741" i="3"/>
  <c r="B740" i="3"/>
  <c r="B739" i="3"/>
  <c r="B738" i="3"/>
  <c r="B737" i="3"/>
  <c r="B736" i="3"/>
  <c r="B735" i="3"/>
  <c r="B734" i="3"/>
  <c r="B733" i="3"/>
  <c r="B732" i="3"/>
  <c r="B731" i="3"/>
  <c r="B730" i="3"/>
  <c r="B729" i="3"/>
  <c r="B728" i="3"/>
  <c r="B727" i="3"/>
  <c r="B726" i="3"/>
  <c r="B725" i="3"/>
  <c r="B724" i="3"/>
  <c r="B723" i="3"/>
  <c r="B722" i="3"/>
  <c r="B721" i="3"/>
  <c r="B720" i="3"/>
  <c r="B719" i="3"/>
  <c r="B718" i="3"/>
  <c r="B717" i="3"/>
  <c r="B716" i="3"/>
  <c r="B715" i="3"/>
  <c r="B714" i="3"/>
  <c r="B713" i="3"/>
  <c r="B712" i="3"/>
  <c r="B711" i="3"/>
  <c r="B710" i="3"/>
  <c r="B709" i="3"/>
  <c r="B708" i="3"/>
  <c r="B707" i="3"/>
  <c r="B706" i="3"/>
  <c r="B705" i="3"/>
  <c r="B704" i="3"/>
  <c r="B703" i="3"/>
  <c r="B702" i="3"/>
  <c r="B701" i="3"/>
  <c r="B700" i="3"/>
  <c r="B699" i="3"/>
  <c r="B698" i="3"/>
  <c r="B697" i="3"/>
  <c r="B696" i="3"/>
  <c r="B695" i="3"/>
  <c r="B694" i="3"/>
  <c r="B693" i="3"/>
  <c r="B692" i="3"/>
  <c r="B691" i="3"/>
  <c r="B690" i="3"/>
  <c r="B689" i="3"/>
  <c r="B688" i="3"/>
  <c r="B687" i="3"/>
  <c r="B686" i="3"/>
  <c r="B685" i="3"/>
  <c r="B684" i="3"/>
  <c r="B683" i="3"/>
  <c r="B682" i="3"/>
  <c r="B681" i="3"/>
  <c r="B680" i="3"/>
  <c r="B679" i="3"/>
  <c r="B678" i="3"/>
  <c r="B677" i="3"/>
  <c r="B676" i="3"/>
  <c r="B675" i="3"/>
  <c r="B674" i="3"/>
  <c r="B673" i="3"/>
  <c r="B672" i="3"/>
  <c r="B671" i="3"/>
  <c r="B670" i="3"/>
  <c r="B669" i="3"/>
  <c r="B668" i="3"/>
  <c r="B667" i="3"/>
  <c r="B666" i="3"/>
  <c r="B665" i="3"/>
  <c r="B664" i="3"/>
  <c r="B663" i="3"/>
  <c r="B662" i="3"/>
  <c r="B661" i="3"/>
  <c r="B660" i="3"/>
  <c r="B659" i="3"/>
  <c r="B658" i="3"/>
  <c r="B657" i="3"/>
  <c r="B656" i="3"/>
  <c r="B655" i="3"/>
  <c r="B654" i="3"/>
  <c r="B653" i="3"/>
  <c r="B652" i="3"/>
  <c r="B651" i="3"/>
  <c r="B650" i="3"/>
  <c r="B649" i="3"/>
  <c r="B648" i="3"/>
  <c r="B647" i="3"/>
  <c r="B646" i="3"/>
  <c r="B645" i="3"/>
  <c r="B644" i="3"/>
  <c r="B643" i="3"/>
  <c r="B642" i="3"/>
  <c r="B641" i="3"/>
  <c r="B640" i="3"/>
  <c r="B639" i="3"/>
  <c r="B638" i="3"/>
  <c r="B637" i="3"/>
  <c r="B636" i="3"/>
  <c r="B635" i="3"/>
  <c r="B634" i="3"/>
  <c r="B633" i="3"/>
  <c r="B632" i="3"/>
  <c r="B631" i="3"/>
  <c r="B630" i="3"/>
  <c r="B629" i="3"/>
  <c r="B628" i="3"/>
  <c r="B627" i="3"/>
  <c r="B626" i="3"/>
  <c r="B625" i="3"/>
  <c r="B624" i="3"/>
  <c r="B623" i="3"/>
  <c r="B622" i="3"/>
  <c r="B621" i="3"/>
  <c r="B620" i="3"/>
  <c r="B619" i="3"/>
  <c r="B618" i="3"/>
  <c r="B617" i="3"/>
  <c r="B616" i="3"/>
  <c r="B615" i="3"/>
  <c r="B614" i="3"/>
  <c r="B613" i="3"/>
  <c r="B612" i="3"/>
  <c r="B611" i="3"/>
  <c r="B610" i="3"/>
  <c r="B609" i="3"/>
  <c r="B608" i="3"/>
  <c r="B607" i="3"/>
  <c r="B606" i="3"/>
  <c r="B605" i="3"/>
  <c r="B604" i="3"/>
  <c r="B603" i="3"/>
  <c r="B602" i="3"/>
  <c r="B601" i="3"/>
  <c r="B600" i="3"/>
  <c r="B599" i="3"/>
  <c r="B598" i="3"/>
  <c r="B597" i="3"/>
  <c r="B596" i="3"/>
  <c r="B595" i="3"/>
  <c r="B594" i="3"/>
  <c r="B593" i="3"/>
  <c r="B592" i="3"/>
  <c r="B591" i="3"/>
  <c r="B590" i="3"/>
  <c r="B589" i="3"/>
  <c r="B588" i="3"/>
  <c r="B587" i="3"/>
  <c r="B586" i="3"/>
  <c r="B585" i="3"/>
  <c r="B584" i="3"/>
  <c r="B583" i="3"/>
  <c r="B582" i="3"/>
  <c r="B581" i="3"/>
  <c r="B580" i="3"/>
  <c r="B579" i="3"/>
  <c r="B578" i="3"/>
  <c r="B577" i="3"/>
  <c r="B576" i="3"/>
  <c r="B575" i="3"/>
  <c r="B574" i="3"/>
  <c r="B573" i="3"/>
  <c r="B572" i="3"/>
  <c r="B571" i="3"/>
  <c r="B570" i="3"/>
  <c r="B569" i="3"/>
  <c r="B568" i="3"/>
  <c r="B567" i="3"/>
  <c r="B566" i="3"/>
  <c r="B565" i="3"/>
  <c r="B564" i="3"/>
  <c r="B563" i="3"/>
  <c r="B562" i="3"/>
  <c r="B561" i="3"/>
  <c r="B560" i="3"/>
  <c r="B559" i="3"/>
  <c r="B558" i="3"/>
  <c r="B557" i="3"/>
  <c r="B556" i="3"/>
  <c r="B555" i="3"/>
  <c r="B554" i="3"/>
  <c r="B553" i="3"/>
  <c r="B552" i="3"/>
  <c r="B551" i="3"/>
  <c r="B550" i="3"/>
  <c r="B549" i="3"/>
  <c r="B548" i="3"/>
  <c r="B547" i="3"/>
  <c r="B546" i="3"/>
  <c r="B545" i="3"/>
  <c r="B544" i="3"/>
  <c r="B543" i="3"/>
  <c r="B542" i="3"/>
  <c r="B541" i="3"/>
  <c r="B540" i="3"/>
  <c r="B539" i="3"/>
  <c r="B538" i="3"/>
  <c r="B537" i="3"/>
  <c r="B536" i="3"/>
  <c r="B535" i="3"/>
  <c r="B534" i="3"/>
  <c r="B533" i="3"/>
  <c r="B532" i="3"/>
  <c r="B531" i="3"/>
  <c r="B530" i="3"/>
  <c r="B529" i="3"/>
  <c r="B528" i="3"/>
  <c r="B527" i="3"/>
  <c r="B526" i="3"/>
  <c r="B525" i="3"/>
  <c r="B524" i="3"/>
  <c r="B523" i="3"/>
  <c r="B522" i="3"/>
  <c r="B521" i="3"/>
  <c r="B520" i="3"/>
  <c r="B519" i="3"/>
  <c r="B518" i="3"/>
  <c r="B517" i="3"/>
  <c r="B516" i="3"/>
  <c r="B515" i="3"/>
  <c r="B514" i="3"/>
  <c r="B513" i="3"/>
  <c r="B512" i="3"/>
  <c r="B511" i="3"/>
  <c r="B510" i="3"/>
  <c r="B509" i="3"/>
  <c r="B508" i="3"/>
  <c r="B507" i="3"/>
  <c r="B506" i="3"/>
  <c r="B505" i="3"/>
  <c r="B504" i="3"/>
  <c r="B503" i="3"/>
  <c r="B502" i="3"/>
  <c r="B501" i="3"/>
  <c r="B500" i="3"/>
  <c r="B499" i="3"/>
  <c r="B498" i="3"/>
  <c r="B497" i="3"/>
  <c r="B496" i="3"/>
  <c r="B495" i="3"/>
  <c r="B494" i="3"/>
  <c r="B493" i="3"/>
  <c r="B492" i="3"/>
  <c r="B491" i="3"/>
  <c r="B490" i="3"/>
  <c r="B489" i="3"/>
  <c r="B488" i="3"/>
  <c r="B487" i="3"/>
  <c r="B486" i="3"/>
  <c r="B485" i="3"/>
  <c r="B484" i="3"/>
  <c r="B483" i="3"/>
  <c r="B482" i="3"/>
  <c r="B481" i="3"/>
  <c r="B480" i="3"/>
  <c r="B479" i="3"/>
  <c r="B478" i="3"/>
  <c r="B477" i="3"/>
  <c r="B476" i="3"/>
  <c r="B475" i="3"/>
  <c r="B474" i="3"/>
  <c r="B473" i="3"/>
  <c r="B472" i="3"/>
  <c r="B471" i="3"/>
  <c r="B470" i="3"/>
  <c r="B469" i="3"/>
  <c r="B468" i="3"/>
  <c r="B467" i="3"/>
  <c r="B466" i="3"/>
  <c r="B465" i="3"/>
  <c r="B464" i="3"/>
  <c r="B463" i="3"/>
  <c r="B462" i="3"/>
  <c r="B461" i="3"/>
  <c r="B460" i="3"/>
  <c r="B459" i="3"/>
  <c r="B458" i="3"/>
  <c r="B457" i="3"/>
  <c r="B456" i="3"/>
  <c r="B455" i="3"/>
  <c r="B454" i="3"/>
  <c r="B453" i="3"/>
  <c r="B452" i="3"/>
  <c r="B451" i="3"/>
  <c r="B450" i="3"/>
  <c r="B449" i="3"/>
  <c r="B448" i="3"/>
  <c r="B447" i="3"/>
  <c r="B446" i="3"/>
  <c r="B445" i="3"/>
  <c r="B444" i="3"/>
  <c r="B443" i="3"/>
  <c r="B442" i="3"/>
  <c r="B441" i="3"/>
  <c r="B440" i="3"/>
  <c r="B439" i="3"/>
  <c r="B438" i="3"/>
  <c r="B437" i="3"/>
  <c r="B436" i="3"/>
  <c r="B435" i="3"/>
  <c r="B434" i="3"/>
  <c r="B433" i="3"/>
  <c r="B432" i="3"/>
  <c r="B431" i="3"/>
  <c r="B430" i="3"/>
  <c r="B429" i="3"/>
  <c r="B428" i="3"/>
  <c r="B427" i="3"/>
  <c r="B426" i="3"/>
  <c r="B425" i="3"/>
  <c r="B424" i="3"/>
  <c r="B423" i="3"/>
  <c r="B422" i="3"/>
  <c r="B421" i="3"/>
  <c r="B420" i="3"/>
  <c r="B419" i="3"/>
  <c r="B418" i="3"/>
  <c r="B417" i="3"/>
  <c r="B416" i="3"/>
  <c r="B415" i="3"/>
  <c r="B414" i="3"/>
  <c r="B413" i="3"/>
  <c r="B412" i="3"/>
  <c r="B411" i="3"/>
  <c r="B410" i="3"/>
  <c r="B409" i="3"/>
  <c r="B408" i="3"/>
  <c r="B407" i="3"/>
  <c r="B406" i="3"/>
  <c r="B405" i="3"/>
  <c r="B404" i="3"/>
  <c r="B403" i="3"/>
  <c r="B402" i="3"/>
  <c r="B401" i="3"/>
  <c r="B400" i="3"/>
  <c r="B399" i="3"/>
  <c r="B398" i="3"/>
  <c r="B397" i="3"/>
  <c r="B396" i="3"/>
  <c r="B395" i="3"/>
  <c r="B394" i="3"/>
  <c r="B393" i="3"/>
  <c r="B392" i="3"/>
  <c r="B391" i="3"/>
  <c r="B390" i="3"/>
  <c r="B389" i="3"/>
  <c r="B388" i="3"/>
  <c r="B387" i="3"/>
  <c r="B386" i="3"/>
  <c r="B385" i="3"/>
  <c r="B384" i="3"/>
  <c r="B383" i="3"/>
  <c r="B382" i="3"/>
  <c r="B381" i="3"/>
  <c r="B380" i="3"/>
  <c r="B379" i="3"/>
  <c r="B378" i="3"/>
  <c r="B377" i="3"/>
  <c r="B376" i="3"/>
  <c r="B375" i="3"/>
  <c r="B374" i="3"/>
  <c r="B373" i="3"/>
  <c r="B372" i="3"/>
  <c r="B371" i="3"/>
  <c r="B370" i="3"/>
  <c r="B369" i="3"/>
  <c r="B368" i="3"/>
  <c r="B367" i="3"/>
  <c r="B366" i="3"/>
  <c r="B365" i="3"/>
  <c r="B364" i="3"/>
  <c r="B363" i="3"/>
  <c r="B362" i="3"/>
  <c r="B361" i="3"/>
  <c r="B360" i="3"/>
  <c r="B359" i="3"/>
  <c r="B358" i="3"/>
  <c r="B357" i="3"/>
  <c r="B356" i="3"/>
  <c r="B355" i="3"/>
  <c r="B354" i="3"/>
  <c r="B353" i="3"/>
  <c r="B352" i="3"/>
  <c r="B351" i="3"/>
  <c r="B350" i="3"/>
  <c r="B349" i="3"/>
  <c r="B348" i="3"/>
  <c r="B347" i="3"/>
  <c r="B346" i="3"/>
  <c r="B345" i="3"/>
  <c r="B344" i="3"/>
  <c r="B343" i="3"/>
  <c r="B342" i="3"/>
  <c r="B341" i="3"/>
  <c r="B340" i="3"/>
  <c r="B339" i="3"/>
  <c r="B338" i="3"/>
  <c r="B337" i="3"/>
  <c r="B336" i="3"/>
  <c r="B335" i="3"/>
  <c r="B334" i="3"/>
  <c r="B333" i="3"/>
  <c r="B332" i="3"/>
  <c r="B331" i="3"/>
  <c r="B330" i="3"/>
  <c r="B329" i="3"/>
  <c r="B328" i="3"/>
  <c r="B327" i="3"/>
  <c r="B326" i="3"/>
  <c r="B325" i="3"/>
  <c r="B324" i="3"/>
  <c r="B323" i="3"/>
  <c r="B322" i="3"/>
  <c r="B321" i="3"/>
  <c r="B320" i="3"/>
  <c r="B319" i="3"/>
  <c r="B318" i="3"/>
  <c r="B317" i="3"/>
  <c r="B316" i="3"/>
  <c r="B315" i="3"/>
  <c r="B314" i="3"/>
  <c r="B313" i="3"/>
  <c r="B312" i="3"/>
  <c r="B311" i="3"/>
  <c r="B310" i="3"/>
  <c r="B309" i="3"/>
  <c r="B308" i="3"/>
  <c r="B307" i="3"/>
  <c r="B306" i="3"/>
  <c r="B305" i="3"/>
  <c r="B304" i="3"/>
  <c r="B303" i="3"/>
  <c r="B302" i="3"/>
  <c r="B301" i="3"/>
  <c r="B300" i="3"/>
  <c r="B299" i="3"/>
  <c r="B298" i="3"/>
  <c r="B297" i="3"/>
  <c r="B296" i="3"/>
  <c r="B295" i="3"/>
  <c r="B294" i="3"/>
  <c r="B293" i="3"/>
  <c r="B292" i="3"/>
  <c r="B291" i="3"/>
  <c r="B290" i="3"/>
  <c r="B289" i="3"/>
  <c r="B288" i="3"/>
  <c r="B287" i="3"/>
  <c r="B286" i="3"/>
  <c r="B285" i="3"/>
  <c r="B284" i="3"/>
  <c r="B283" i="3"/>
  <c r="B282" i="3"/>
  <c r="B281" i="3"/>
  <c r="B280" i="3"/>
  <c r="B279" i="3"/>
  <c r="B278" i="3"/>
  <c r="B277" i="3"/>
  <c r="B276" i="3"/>
  <c r="B275" i="3"/>
  <c r="B274" i="3"/>
  <c r="B273" i="3"/>
  <c r="B272" i="3"/>
  <c r="B271" i="3"/>
  <c r="B270" i="3"/>
  <c r="B269" i="3"/>
  <c r="B268" i="3"/>
  <c r="B267" i="3"/>
  <c r="B266" i="3"/>
  <c r="B265" i="3"/>
  <c r="B264" i="3"/>
  <c r="B263" i="3"/>
  <c r="B262" i="3"/>
  <c r="B261" i="3"/>
  <c r="B260" i="3"/>
  <c r="B259" i="3"/>
  <c r="B258" i="3"/>
  <c r="B257" i="3"/>
  <c r="B256" i="3"/>
  <c r="B255" i="3"/>
  <c r="B254" i="3"/>
  <c r="B253" i="3"/>
  <c r="B252" i="3"/>
  <c r="B251" i="3"/>
  <c r="B250" i="3"/>
  <c r="B249" i="3"/>
  <c r="B248" i="3"/>
  <c r="B247" i="3"/>
  <c r="B246" i="3"/>
  <c r="B245" i="3"/>
  <c r="B244" i="3"/>
  <c r="B243" i="3"/>
  <c r="B242" i="3"/>
  <c r="B241" i="3"/>
  <c r="B240" i="3"/>
  <c r="B239" i="3"/>
  <c r="B238" i="3"/>
  <c r="B237" i="3"/>
  <c r="B236" i="3"/>
  <c r="B235" i="3"/>
  <c r="B234" i="3"/>
  <c r="B233" i="3"/>
  <c r="B232" i="3"/>
  <c r="B231" i="3"/>
  <c r="B230" i="3"/>
  <c r="B229" i="3"/>
  <c r="B228" i="3"/>
  <c r="B227" i="3"/>
  <c r="B226" i="3"/>
  <c r="B225" i="3"/>
  <c r="B224" i="3"/>
  <c r="B223" i="3"/>
  <c r="B222" i="3"/>
  <c r="B221" i="3"/>
  <c r="B220" i="3"/>
  <c r="B219" i="3"/>
  <c r="B218" i="3"/>
  <c r="B217" i="3"/>
  <c r="B216" i="3"/>
  <c r="B215" i="3"/>
  <c r="B214" i="3"/>
  <c r="B213" i="3"/>
  <c r="B212" i="3"/>
  <c r="B211" i="3"/>
  <c r="B210" i="3"/>
  <c r="B209" i="3"/>
  <c r="B208" i="3"/>
  <c r="B207" i="3"/>
  <c r="B206" i="3"/>
  <c r="B205" i="3"/>
  <c r="B204" i="3"/>
  <c r="B203" i="3"/>
  <c r="B202" i="3"/>
  <c r="B201" i="3"/>
  <c r="B200" i="3"/>
  <c r="B199" i="3"/>
  <c r="B198" i="3"/>
  <c r="B197" i="3"/>
  <c r="B196" i="3"/>
  <c r="B195" i="3"/>
  <c r="B194" i="3"/>
  <c r="B193" i="3"/>
  <c r="B192" i="3"/>
  <c r="B191" i="3"/>
  <c r="B190" i="3"/>
  <c r="B189" i="3"/>
  <c r="B188" i="3"/>
  <c r="B187" i="3"/>
  <c r="B186" i="3"/>
  <c r="B185" i="3"/>
  <c r="B184" i="3"/>
  <c r="B183" i="3"/>
  <c r="B182" i="3"/>
  <c r="B181" i="3"/>
  <c r="B180" i="3"/>
  <c r="B179" i="3"/>
  <c r="B178" i="3"/>
  <c r="B177" i="3"/>
  <c r="B176" i="3"/>
  <c r="B175" i="3"/>
  <c r="B174" i="3"/>
  <c r="B173" i="3"/>
  <c r="B172" i="3"/>
  <c r="B171" i="3"/>
  <c r="B170" i="3"/>
  <c r="B169" i="3"/>
  <c r="B168" i="3"/>
  <c r="B167" i="3"/>
  <c r="B166" i="3"/>
  <c r="B165" i="3"/>
  <c r="B164" i="3"/>
  <c r="B163" i="3"/>
  <c r="B162" i="3"/>
  <c r="B161" i="3"/>
  <c r="B160" i="3"/>
  <c r="B159" i="3"/>
  <c r="B158" i="3"/>
  <c r="B157" i="3"/>
  <c r="B156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3" i="3"/>
  <c r="G131" i="3" l="1"/>
  <c r="H131" i="3" s="1"/>
  <c r="I135" i="3"/>
  <c r="J135" i="3" s="1"/>
  <c r="I139" i="3"/>
  <c r="J139" i="3" s="1"/>
  <c r="H129" i="3"/>
  <c r="I141" i="3"/>
  <c r="H103" i="3"/>
  <c r="H128" i="3"/>
  <c r="I154" i="3"/>
  <c r="J154" i="3" s="1"/>
  <c r="I127" i="3"/>
  <c r="J127" i="3" s="1"/>
  <c r="H134" i="3"/>
  <c r="H142" i="3"/>
  <c r="H109" i="3"/>
  <c r="H137" i="3"/>
  <c r="H136" i="3"/>
  <c r="I132" i="3"/>
  <c r="J132" i="3" s="1"/>
  <c r="H156" i="3"/>
  <c r="H114" i="3"/>
  <c r="H93" i="3"/>
  <c r="H148" i="3"/>
  <c r="H152" i="3"/>
  <c r="H83" i="3"/>
  <c r="H115" i="3"/>
  <c r="I150" i="3"/>
  <c r="J150" i="3" s="1"/>
  <c r="I121" i="3"/>
  <c r="H153" i="3"/>
  <c r="H118" i="3"/>
  <c r="H86" i="3"/>
  <c r="H151" i="3"/>
  <c r="H100" i="3"/>
  <c r="H140" i="3"/>
  <c r="H98" i="3"/>
  <c r="G213" i="3"/>
  <c r="I213" i="3" s="1"/>
  <c r="J213" i="3" s="1"/>
  <c r="H130" i="3"/>
  <c r="H138" i="3"/>
  <c r="H84" i="3"/>
  <c r="H87" i="3"/>
  <c r="H102" i="3"/>
  <c r="H104" i="3"/>
  <c r="H147" i="3"/>
  <c r="H88" i="3"/>
  <c r="H119" i="3"/>
  <c r="H97" i="3"/>
  <c r="H124" i="3"/>
  <c r="H105" i="3"/>
  <c r="G205" i="3"/>
  <c r="I205" i="3" s="1"/>
  <c r="J205" i="3" s="1"/>
  <c r="I157" i="3"/>
  <c r="J157" i="3" s="1"/>
  <c r="H155" i="3"/>
  <c r="H91" i="3"/>
  <c r="H106" i="3"/>
  <c r="H122" i="3"/>
  <c r="H112" i="3"/>
  <c r="H94" i="3"/>
  <c r="H125" i="3"/>
  <c r="H146" i="3"/>
  <c r="H92" i="3"/>
  <c r="H107" i="3"/>
  <c r="H123" i="3"/>
  <c r="H143" i="3"/>
  <c r="H101" i="3"/>
  <c r="H144" i="3"/>
  <c r="H113" i="3"/>
  <c r="H99" i="3"/>
  <c r="H89" i="3"/>
  <c r="H116" i="3"/>
  <c r="H149" i="3"/>
  <c r="H95" i="3"/>
  <c r="H110" i="3"/>
  <c r="H126" i="3"/>
  <c r="H85" i="3"/>
  <c r="H120" i="3"/>
  <c r="H82" i="3"/>
  <c r="H145" i="3"/>
  <c r="H96" i="3"/>
  <c r="H111" i="3"/>
  <c r="H133" i="3"/>
  <c r="H108" i="3"/>
  <c r="H90" i="3"/>
  <c r="I117" i="3"/>
  <c r="J117" i="3" s="1"/>
  <c r="G225" i="3"/>
  <c r="I225" i="3" s="1"/>
  <c r="J225" i="3" s="1"/>
  <c r="G209" i="3"/>
  <c r="I209" i="3" s="1"/>
  <c r="J209" i="3" s="1"/>
  <c r="G221" i="3"/>
  <c r="I221" i="3" s="1"/>
  <c r="J221" i="3" s="1"/>
  <c r="G194" i="3"/>
  <c r="I194" i="3" s="1"/>
  <c r="J194" i="3" s="1"/>
  <c r="G174" i="3"/>
  <c r="I174" i="3" s="1"/>
  <c r="J174" i="3" s="1"/>
  <c r="G192" i="3"/>
  <c r="I192" i="3" s="1"/>
  <c r="J192" i="3" s="1"/>
  <c r="G159" i="3"/>
  <c r="I159" i="3" s="1"/>
  <c r="J159" i="3" s="1"/>
  <c r="G189" i="3"/>
  <c r="I189" i="3" s="1"/>
  <c r="J189" i="3" s="1"/>
  <c r="G166" i="3"/>
  <c r="I166" i="3" s="1"/>
  <c r="J166" i="3" s="1"/>
  <c r="G181" i="3"/>
  <c r="I181" i="3" s="1"/>
  <c r="J181" i="3" s="1"/>
  <c r="G212" i="3"/>
  <c r="I212" i="3" s="1"/>
  <c r="J212" i="3" s="1"/>
  <c r="G158" i="3"/>
  <c r="I158" i="3" s="1"/>
  <c r="J158" i="3" s="1"/>
  <c r="G228" i="3"/>
  <c r="I228" i="3" s="1"/>
  <c r="J228" i="3" s="1"/>
  <c r="G161" i="3"/>
  <c r="I161" i="3" s="1"/>
  <c r="J161" i="3" s="1"/>
  <c r="G196" i="3"/>
  <c r="I196" i="3" s="1"/>
  <c r="J196" i="3" s="1"/>
  <c r="G190" i="3"/>
  <c r="I190" i="3" s="1"/>
  <c r="J190" i="3" s="1"/>
  <c r="G195" i="3"/>
  <c r="I195" i="3" s="1"/>
  <c r="J195" i="3" s="1"/>
  <c r="G179" i="3"/>
  <c r="I179" i="3" s="1"/>
  <c r="J179" i="3" s="1"/>
  <c r="G180" i="3"/>
  <c r="I180" i="3" s="1"/>
  <c r="J180" i="3" s="1"/>
  <c r="G216" i="3"/>
  <c r="I216" i="3" s="1"/>
  <c r="J216" i="3" s="1"/>
  <c r="G223" i="3"/>
  <c r="I223" i="3" s="1"/>
  <c r="J223" i="3" s="1"/>
  <c r="G214" i="3"/>
  <c r="I214" i="3" s="1"/>
  <c r="J214" i="3" s="1"/>
  <c r="G187" i="3"/>
  <c r="I187" i="3" s="1"/>
  <c r="J187" i="3" s="1"/>
  <c r="G198" i="3"/>
  <c r="I198" i="3" s="1"/>
  <c r="J198" i="3" s="1"/>
  <c r="G222" i="3"/>
  <c r="I222" i="3" s="1"/>
  <c r="J222" i="3" s="1"/>
  <c r="G227" i="3"/>
  <c r="I227" i="3" s="1"/>
  <c r="J227" i="3" s="1"/>
  <c r="G173" i="3"/>
  <c r="I173" i="3" s="1"/>
  <c r="J173" i="3" s="1"/>
  <c r="G232" i="3"/>
  <c r="I232" i="3" s="1"/>
  <c r="J232" i="3" s="1"/>
  <c r="G206" i="3"/>
  <c r="I206" i="3" s="1"/>
  <c r="J206" i="3" s="1"/>
  <c r="G191" i="3"/>
  <c r="I191" i="3" s="1"/>
  <c r="J191" i="3" s="1"/>
  <c r="G183" i="3"/>
  <c r="I183" i="3" s="1"/>
  <c r="J183" i="3" s="1"/>
  <c r="G231" i="3"/>
  <c r="I231" i="3" s="1"/>
  <c r="J231" i="3" s="1"/>
  <c r="G175" i="3"/>
  <c r="I175" i="3" s="1"/>
  <c r="J175" i="3" s="1"/>
  <c r="G210" i="3"/>
  <c r="I210" i="3" s="1"/>
  <c r="J210" i="3" s="1"/>
  <c r="G176" i="3"/>
  <c r="I176" i="3" s="1"/>
  <c r="J176" i="3" s="1"/>
  <c r="G219" i="3"/>
  <c r="I219" i="3" s="1"/>
  <c r="J219" i="3" s="1"/>
  <c r="I131" i="3" l="1"/>
  <c r="G226" i="3"/>
  <c r="I226" i="3" s="1"/>
  <c r="J226" i="3" s="1"/>
  <c r="G215" i="3"/>
  <c r="I215" i="3" s="1"/>
  <c r="J215" i="3" s="1"/>
  <c r="G211" i="3"/>
  <c r="I211" i="3" s="1"/>
  <c r="J211" i="3" s="1"/>
  <c r="G203" i="3"/>
  <c r="I203" i="3" s="1"/>
  <c r="J203" i="3" s="1"/>
  <c r="G281" i="3"/>
  <c r="I281" i="3" s="1"/>
  <c r="J281" i="3" s="1"/>
  <c r="G208" i="3"/>
  <c r="I208" i="3" s="1"/>
  <c r="J208" i="3" s="1"/>
  <c r="G233" i="3"/>
  <c r="I233" i="3" s="1"/>
  <c r="J233" i="3" s="1"/>
  <c r="G230" i="3"/>
  <c r="I230" i="3" s="1"/>
  <c r="J230" i="3" s="1"/>
  <c r="G289" i="3"/>
  <c r="I289" i="3" s="1"/>
  <c r="J289" i="3" s="1"/>
  <c r="G197" i="3"/>
  <c r="I197" i="3" s="1"/>
  <c r="J121" i="3"/>
  <c r="H205" i="3"/>
  <c r="H213" i="3"/>
  <c r="G217" i="3"/>
  <c r="J141" i="3"/>
  <c r="H194" i="3"/>
  <c r="H223" i="3"/>
  <c r="H191" i="3"/>
  <c r="H198" i="3"/>
  <c r="H212" i="3"/>
  <c r="H216" i="3"/>
  <c r="H209" i="3"/>
  <c r="H206" i="3"/>
  <c r="H227" i="3"/>
  <c r="H158" i="3"/>
  <c r="H174" i="3"/>
  <c r="H159" i="3"/>
  <c r="H195" i="3"/>
  <c r="H225" i="3"/>
  <c r="H179" i="3"/>
  <c r="H231" i="3"/>
  <c r="H183" i="3"/>
  <c r="H189" i="3"/>
  <c r="H214" i="3"/>
  <c r="H173" i="3"/>
  <c r="H175" i="3"/>
  <c r="H176" i="3"/>
  <c r="H190" i="3"/>
  <c r="H181" i="3"/>
  <c r="G301" i="3"/>
  <c r="H301" i="3" s="1"/>
  <c r="H232" i="3"/>
  <c r="H196" i="3"/>
  <c r="H192" i="3"/>
  <c r="H222" i="3"/>
  <c r="H219" i="3"/>
  <c r="H228" i="3"/>
  <c r="H161" i="3"/>
  <c r="G193" i="3"/>
  <c r="I193" i="3" s="1"/>
  <c r="H187" i="3"/>
  <c r="H166" i="3"/>
  <c r="H221" i="3"/>
  <c r="H180" i="3"/>
  <c r="H210" i="3"/>
  <c r="G297" i="3"/>
  <c r="I297" i="3" s="1"/>
  <c r="J297" i="3" s="1"/>
  <c r="G288" i="3"/>
  <c r="I288" i="3" s="1"/>
  <c r="J288" i="3" s="1"/>
  <c r="G164" i="3"/>
  <c r="G160" i="3"/>
  <c r="G201" i="3"/>
  <c r="H201" i="3" s="1"/>
  <c r="G199" i="3"/>
  <c r="G162" i="3"/>
  <c r="G235" i="3"/>
  <c r="I235" i="3" s="1"/>
  <c r="J235" i="3" s="1"/>
  <c r="G265" i="3"/>
  <c r="I265" i="3" s="1"/>
  <c r="J265" i="3" s="1"/>
  <c r="G268" i="3"/>
  <c r="I268" i="3" s="1"/>
  <c r="J268" i="3" s="1"/>
  <c r="G185" i="3"/>
  <c r="G172" i="3"/>
  <c r="G285" i="3"/>
  <c r="I285" i="3" s="1"/>
  <c r="J285" i="3" s="1"/>
  <c r="G186" i="3"/>
  <c r="G168" i="3"/>
  <c r="G282" i="3"/>
  <c r="I282" i="3" s="1"/>
  <c r="J282" i="3" s="1"/>
  <c r="G257" i="3"/>
  <c r="I257" i="3" s="1"/>
  <c r="J257" i="3" s="1"/>
  <c r="G299" i="3"/>
  <c r="I299" i="3" s="1"/>
  <c r="J299" i="3" s="1"/>
  <c r="G169" i="3"/>
  <c r="G229" i="3"/>
  <c r="G218" i="3"/>
  <c r="G224" i="3"/>
  <c r="G165" i="3"/>
  <c r="G184" i="3"/>
  <c r="G171" i="3"/>
  <c r="G237" i="3"/>
  <c r="I237" i="3" s="1"/>
  <c r="J237" i="3" s="1"/>
  <c r="G178" i="3"/>
  <c r="G170" i="3"/>
  <c r="G163" i="3"/>
  <c r="G292" i="3"/>
  <c r="I292" i="3" s="1"/>
  <c r="J292" i="3" s="1"/>
  <c r="G272" i="3"/>
  <c r="I272" i="3" s="1"/>
  <c r="J272" i="3" s="1"/>
  <c r="G286" i="3"/>
  <c r="I286" i="3" s="1"/>
  <c r="J286" i="3" s="1"/>
  <c r="G250" i="3"/>
  <c r="I250" i="3" s="1"/>
  <c r="J250" i="3" s="1"/>
  <c r="G251" i="3"/>
  <c r="I251" i="3" s="1"/>
  <c r="J251" i="3" s="1"/>
  <c r="G267" i="3"/>
  <c r="I267" i="3" s="1"/>
  <c r="J267" i="3" s="1"/>
  <c r="G255" i="3"/>
  <c r="I255" i="3" s="1"/>
  <c r="J255" i="3" s="1"/>
  <c r="G182" i="3"/>
  <c r="G202" i="3"/>
  <c r="G167" i="3"/>
  <c r="G188" i="3"/>
  <c r="G220" i="3"/>
  <c r="G307" i="3"/>
  <c r="I307" i="3" s="1"/>
  <c r="J307" i="3" s="1"/>
  <c r="G252" i="3"/>
  <c r="I252" i="3" s="1"/>
  <c r="J252" i="3" s="1"/>
  <c r="G303" i="3"/>
  <c r="I303" i="3" s="1"/>
  <c r="J303" i="3" s="1"/>
  <c r="G271" i="3"/>
  <c r="I271" i="3" s="1"/>
  <c r="J271" i="3" s="1"/>
  <c r="J131" i="3" l="1"/>
  <c r="G207" i="3"/>
  <c r="H208" i="3"/>
  <c r="G302" i="3"/>
  <c r="I302" i="3" s="1"/>
  <c r="J302" i="3" s="1"/>
  <c r="H226" i="3"/>
  <c r="H203" i="3"/>
  <c r="G291" i="3"/>
  <c r="I291" i="3" s="1"/>
  <c r="J291" i="3" s="1"/>
  <c r="H281" i="3"/>
  <c r="H215" i="3"/>
  <c r="H230" i="3"/>
  <c r="G309" i="3"/>
  <c r="I309" i="3" s="1"/>
  <c r="J309" i="3" s="1"/>
  <c r="H211" i="3"/>
  <c r="G287" i="3"/>
  <c r="I287" i="3" s="1"/>
  <c r="J287" i="3" s="1"/>
  <c r="H233" i="3"/>
  <c r="G365" i="3"/>
  <c r="I365" i="3" s="1"/>
  <c r="J365" i="3" s="1"/>
  <c r="H289" i="3"/>
  <c r="G306" i="3"/>
  <c r="I306" i="3" s="1"/>
  <c r="J306" i="3" s="1"/>
  <c r="G273" i="3"/>
  <c r="I273" i="3" s="1"/>
  <c r="J273" i="3" s="1"/>
  <c r="J197" i="3"/>
  <c r="G269" i="3"/>
  <c r="I269" i="3" s="1"/>
  <c r="J269" i="3" s="1"/>
  <c r="J193" i="3"/>
  <c r="H197" i="3"/>
  <c r="I217" i="3"/>
  <c r="H217" i="3"/>
  <c r="I301" i="3"/>
  <c r="J301" i="3" s="1"/>
  <c r="H250" i="3"/>
  <c r="H286" i="3"/>
  <c r="H251" i="3"/>
  <c r="H268" i="3"/>
  <c r="I188" i="3"/>
  <c r="H188" i="3"/>
  <c r="I162" i="3"/>
  <c r="H162" i="3"/>
  <c r="I164" i="3"/>
  <c r="H164" i="3"/>
  <c r="H257" i="3"/>
  <c r="H255" i="3"/>
  <c r="I167" i="3"/>
  <c r="J167" i="3" s="1"/>
  <c r="H167" i="3"/>
  <c r="I163" i="3"/>
  <c r="J163" i="3" s="1"/>
  <c r="H163" i="3"/>
  <c r="I171" i="3"/>
  <c r="J171" i="3" s="1"/>
  <c r="H171" i="3"/>
  <c r="I218" i="3"/>
  <c r="J218" i="3" s="1"/>
  <c r="H218" i="3"/>
  <c r="I172" i="3"/>
  <c r="H172" i="3"/>
  <c r="I199" i="3"/>
  <c r="J199" i="3" s="1"/>
  <c r="H199" i="3"/>
  <c r="H237" i="3"/>
  <c r="H303" i="3"/>
  <c r="H265" i="3"/>
  <c r="H271" i="3"/>
  <c r="H267" i="3"/>
  <c r="H297" i="3"/>
  <c r="H252" i="3"/>
  <c r="H299" i="3"/>
  <c r="I202" i="3"/>
  <c r="J202" i="3" s="1"/>
  <c r="H202" i="3"/>
  <c r="I170" i="3"/>
  <c r="J170" i="3" s="1"/>
  <c r="H170" i="3"/>
  <c r="I184" i="3"/>
  <c r="H184" i="3"/>
  <c r="I229" i="3"/>
  <c r="J229" i="3" s="1"/>
  <c r="H229" i="3"/>
  <c r="I168" i="3"/>
  <c r="J168" i="3" s="1"/>
  <c r="H168" i="3"/>
  <c r="I185" i="3"/>
  <c r="J185" i="3" s="1"/>
  <c r="H185" i="3"/>
  <c r="H235" i="3"/>
  <c r="H282" i="3"/>
  <c r="H288" i="3"/>
  <c r="I224" i="3"/>
  <c r="J224" i="3" s="1"/>
  <c r="H224" i="3"/>
  <c r="I220" i="3"/>
  <c r="J220" i="3" s="1"/>
  <c r="H220" i="3"/>
  <c r="I182" i="3"/>
  <c r="J182" i="3" s="1"/>
  <c r="H182" i="3"/>
  <c r="I178" i="3"/>
  <c r="J178" i="3" s="1"/>
  <c r="H178" i="3"/>
  <c r="I165" i="3"/>
  <c r="J165" i="3" s="1"/>
  <c r="H165" i="3"/>
  <c r="I169" i="3"/>
  <c r="J169" i="3" s="1"/>
  <c r="H169" i="3"/>
  <c r="I186" i="3"/>
  <c r="H186" i="3"/>
  <c r="I160" i="3"/>
  <c r="H160" i="3"/>
  <c r="H193" i="3"/>
  <c r="H292" i="3"/>
  <c r="H307" i="3"/>
  <c r="H285" i="3"/>
  <c r="H272" i="3"/>
  <c r="I201" i="3"/>
  <c r="J201" i="3" s="1"/>
  <c r="G274" i="3"/>
  <c r="G295" i="3"/>
  <c r="G249" i="3"/>
  <c r="G290" i="3"/>
  <c r="G256" i="3"/>
  <c r="G304" i="3"/>
  <c r="G362" i="3"/>
  <c r="I362" i="3" s="1"/>
  <c r="J362" i="3" s="1"/>
  <c r="G364" i="3"/>
  <c r="I364" i="3" s="1"/>
  <c r="J364" i="3" s="1"/>
  <c r="G357" i="3"/>
  <c r="G279" i="3"/>
  <c r="G328" i="3"/>
  <c r="I328" i="3" s="1"/>
  <c r="J328" i="3" s="1"/>
  <c r="G308" i="3"/>
  <c r="G298" i="3"/>
  <c r="G270" i="3"/>
  <c r="G331" i="3"/>
  <c r="I331" i="3" s="1"/>
  <c r="J331" i="3" s="1"/>
  <c r="G204" i="3"/>
  <c r="G284" i="3"/>
  <c r="G200" i="3"/>
  <c r="G266" i="3"/>
  <c r="G177" i="3"/>
  <c r="G234" i="3"/>
  <c r="G379" i="3"/>
  <c r="I379" i="3" s="1"/>
  <c r="J379" i="3" s="1"/>
  <c r="G348" i="3"/>
  <c r="I348" i="3" s="1"/>
  <c r="J348" i="3" s="1"/>
  <c r="G242" i="3"/>
  <c r="G373" i="3"/>
  <c r="I373" i="3" s="1"/>
  <c r="J373" i="3" s="1"/>
  <c r="G327" i="3"/>
  <c r="I327" i="3" s="1"/>
  <c r="J327" i="3" s="1"/>
  <c r="G368" i="3"/>
  <c r="I368" i="3" s="1"/>
  <c r="J368" i="3" s="1"/>
  <c r="G259" i="3"/>
  <c r="G263" i="3"/>
  <c r="G358" i="3"/>
  <c r="I358" i="3" s="1"/>
  <c r="J358" i="3" s="1"/>
  <c r="I207" i="3" l="1"/>
  <c r="H207" i="3"/>
  <c r="H302" i="3"/>
  <c r="G378" i="3"/>
  <c r="I378" i="3" s="1"/>
  <c r="J378" i="3" s="1"/>
  <c r="H291" i="3"/>
  <c r="H287" i="3"/>
  <c r="H309" i="3"/>
  <c r="G385" i="3"/>
  <c r="I385" i="3" s="1"/>
  <c r="J385" i="3" s="1"/>
  <c r="H273" i="3"/>
  <c r="G441" i="3"/>
  <c r="I441" i="3" s="1"/>
  <c r="J441" i="3" s="1"/>
  <c r="G382" i="3"/>
  <c r="I382" i="3" s="1"/>
  <c r="J382" i="3" s="1"/>
  <c r="H306" i="3"/>
  <c r="H365" i="3"/>
  <c r="G349" i="3"/>
  <c r="I349" i="3" s="1"/>
  <c r="J349" i="3" s="1"/>
  <c r="H269" i="3"/>
  <c r="G275" i="3"/>
  <c r="I275" i="3" s="1"/>
  <c r="J275" i="3" s="1"/>
  <c r="G258" i="3"/>
  <c r="I258" i="3" s="1"/>
  <c r="J258" i="3" s="1"/>
  <c r="G305" i="3"/>
  <c r="I305" i="3" s="1"/>
  <c r="J305" i="3" s="1"/>
  <c r="G246" i="3"/>
  <c r="I246" i="3" s="1"/>
  <c r="J246" i="3" s="1"/>
  <c r="G236" i="3"/>
  <c r="J160" i="3"/>
  <c r="G260" i="3"/>
  <c r="I260" i="3" s="1"/>
  <c r="J260" i="3" s="1"/>
  <c r="J184" i="3"/>
  <c r="G248" i="3"/>
  <c r="I248" i="3" s="1"/>
  <c r="J248" i="3" s="1"/>
  <c r="J172" i="3"/>
  <c r="G238" i="3"/>
  <c r="I238" i="3" s="1"/>
  <c r="J238" i="3" s="1"/>
  <c r="J162" i="3"/>
  <c r="G240" i="3"/>
  <c r="I240" i="3" s="1"/>
  <c r="J240" i="3" s="1"/>
  <c r="J164" i="3"/>
  <c r="G264" i="3"/>
  <c r="I264" i="3" s="1"/>
  <c r="J264" i="3" s="1"/>
  <c r="J188" i="3"/>
  <c r="J217" i="3"/>
  <c r="G293" i="3"/>
  <c r="I293" i="3" s="1"/>
  <c r="G377" i="3"/>
  <c r="I377" i="3" s="1"/>
  <c r="J377" i="3" s="1"/>
  <c r="G262" i="3"/>
  <c r="I262" i="3" s="1"/>
  <c r="J262" i="3" s="1"/>
  <c r="J186" i="3"/>
  <c r="H362" i="3"/>
  <c r="H328" i="3"/>
  <c r="I266" i="3"/>
  <c r="J266" i="3" s="1"/>
  <c r="H266" i="3"/>
  <c r="I256" i="3"/>
  <c r="J256" i="3" s="1"/>
  <c r="H256" i="3"/>
  <c r="I274" i="3"/>
  <c r="J274" i="3" s="1"/>
  <c r="H274" i="3"/>
  <c r="H368" i="3"/>
  <c r="I259" i="3"/>
  <c r="H259" i="3"/>
  <c r="I200" i="3"/>
  <c r="J200" i="3" s="1"/>
  <c r="H200" i="3"/>
  <c r="I298" i="3"/>
  <c r="H298" i="3"/>
  <c r="I290" i="3"/>
  <c r="H290" i="3"/>
  <c r="H327" i="3"/>
  <c r="H379" i="3"/>
  <c r="H358" i="3"/>
  <c r="I279" i="3"/>
  <c r="J279" i="3" s="1"/>
  <c r="H279" i="3"/>
  <c r="G277" i="3"/>
  <c r="H277" i="3" s="1"/>
  <c r="I284" i="3"/>
  <c r="J284" i="3" s="1"/>
  <c r="H284" i="3"/>
  <c r="H348" i="3"/>
  <c r="H331" i="3"/>
  <c r="H378" i="3"/>
  <c r="I270" i="3"/>
  <c r="H270" i="3"/>
  <c r="I263" i="3"/>
  <c r="J263" i="3" s="1"/>
  <c r="H263" i="3"/>
  <c r="I234" i="3"/>
  <c r="J234" i="3" s="1"/>
  <c r="H234" i="3"/>
  <c r="I308" i="3"/>
  <c r="J308" i="3" s="1"/>
  <c r="H308" i="3"/>
  <c r="I357" i="3"/>
  <c r="H357" i="3"/>
  <c r="I242" i="3"/>
  <c r="H242" i="3"/>
  <c r="I177" i="3"/>
  <c r="H177" i="3"/>
  <c r="I204" i="3"/>
  <c r="J204" i="3" s="1"/>
  <c r="H204" i="3"/>
  <c r="I304" i="3"/>
  <c r="J304" i="3" s="1"/>
  <c r="H304" i="3"/>
  <c r="I249" i="3"/>
  <c r="H249" i="3"/>
  <c r="I295" i="3"/>
  <c r="J295" i="3" s="1"/>
  <c r="H295" i="3"/>
  <c r="H373" i="3"/>
  <c r="H364" i="3"/>
  <c r="H441" i="3"/>
  <c r="G278" i="3"/>
  <c r="I278" i="3" s="1"/>
  <c r="G261" i="3"/>
  <c r="I261" i="3" s="1"/>
  <c r="J261" i="3" s="1"/>
  <c r="G243" i="3"/>
  <c r="I243" i="3" s="1"/>
  <c r="J243" i="3" s="1"/>
  <c r="G333" i="3"/>
  <c r="G244" i="3"/>
  <c r="I244" i="3" s="1"/>
  <c r="J244" i="3" s="1"/>
  <c r="G361" i="3"/>
  <c r="G347" i="3"/>
  <c r="G247" i="3"/>
  <c r="I247" i="3" s="1"/>
  <c r="J247" i="3" s="1"/>
  <c r="G239" i="3"/>
  <c r="I239" i="3" s="1"/>
  <c r="J239" i="3" s="1"/>
  <c r="G245" i="3"/>
  <c r="I245" i="3" s="1"/>
  <c r="J245" i="3" s="1"/>
  <c r="G300" i="3"/>
  <c r="I300" i="3" s="1"/>
  <c r="J300" i="3" s="1"/>
  <c r="G341" i="3"/>
  <c r="G241" i="3"/>
  <c r="I241" i="3" s="1"/>
  <c r="J241" i="3" s="1"/>
  <c r="G311" i="3"/>
  <c r="G375" i="3"/>
  <c r="H375" i="3" s="1"/>
  <c r="G363" i="3"/>
  <c r="G313" i="3"/>
  <c r="G326" i="3"/>
  <c r="G345" i="3"/>
  <c r="G254" i="3"/>
  <c r="I254" i="3" s="1"/>
  <c r="J254" i="3" s="1"/>
  <c r="G455" i="3"/>
  <c r="I455" i="3" s="1"/>
  <c r="J455" i="3" s="1"/>
  <c r="G344" i="3"/>
  <c r="G294" i="3"/>
  <c r="I294" i="3" s="1"/>
  <c r="J294" i="3" s="1"/>
  <c r="G383" i="3"/>
  <c r="G454" i="3"/>
  <c r="I454" i="3" s="1"/>
  <c r="J454" i="3" s="1"/>
  <c r="G434" i="3"/>
  <c r="I434" i="3" s="1"/>
  <c r="J434" i="3" s="1"/>
  <c r="G367" i="3"/>
  <c r="G407" i="3"/>
  <c r="I407" i="3" s="1"/>
  <c r="J407" i="3" s="1"/>
  <c r="G343" i="3"/>
  <c r="G296" i="3"/>
  <c r="I296" i="3" s="1"/>
  <c r="J296" i="3" s="1"/>
  <c r="G403" i="3"/>
  <c r="I403" i="3" s="1"/>
  <c r="J403" i="3" s="1"/>
  <c r="J207" i="3" l="1"/>
  <c r="G283" i="3"/>
  <c r="I283" i="3" s="1"/>
  <c r="G517" i="3"/>
  <c r="I517" i="3" s="1"/>
  <c r="J517" i="3" s="1"/>
  <c r="G458" i="3"/>
  <c r="I458" i="3" s="1"/>
  <c r="J458" i="3" s="1"/>
  <c r="H382" i="3"/>
  <c r="I236" i="3"/>
  <c r="J236" i="3" s="1"/>
  <c r="H385" i="3"/>
  <c r="G425" i="3"/>
  <c r="I425" i="3" s="1"/>
  <c r="J425" i="3" s="1"/>
  <c r="H264" i="3"/>
  <c r="G334" i="3"/>
  <c r="I334" i="3" s="1"/>
  <c r="J334" i="3" s="1"/>
  <c r="H258" i="3"/>
  <c r="H349" i="3"/>
  <c r="H238" i="3"/>
  <c r="H260" i="3"/>
  <c r="H305" i="3"/>
  <c r="H236" i="3"/>
  <c r="H275" i="3"/>
  <c r="G338" i="3"/>
  <c r="I338" i="3" s="1"/>
  <c r="J338" i="3" s="1"/>
  <c r="G351" i="3"/>
  <c r="I351" i="3" s="1"/>
  <c r="J351" i="3" s="1"/>
  <c r="H246" i="3"/>
  <c r="H262" i="3"/>
  <c r="H240" i="3"/>
  <c r="G316" i="3"/>
  <c r="I316" i="3" s="1"/>
  <c r="J316" i="3" s="1"/>
  <c r="H248" i="3"/>
  <c r="I277" i="3"/>
  <c r="J277" i="3" s="1"/>
  <c r="H293" i="3"/>
  <c r="G253" i="3"/>
  <c r="I253" i="3" s="1"/>
  <c r="J253" i="3" s="1"/>
  <c r="J177" i="3"/>
  <c r="G346" i="3"/>
  <c r="I346" i="3" s="1"/>
  <c r="J346" i="3" s="1"/>
  <c r="J270" i="3"/>
  <c r="G371" i="3"/>
  <c r="I371" i="3" s="1"/>
  <c r="J371" i="3" s="1"/>
  <c r="G433" i="3"/>
  <c r="I433" i="3" s="1"/>
  <c r="J433" i="3" s="1"/>
  <c r="J357" i="3"/>
  <c r="G366" i="3"/>
  <c r="I366" i="3" s="1"/>
  <c r="J366" i="3" s="1"/>
  <c r="J290" i="3"/>
  <c r="G276" i="3"/>
  <c r="I276" i="3" s="1"/>
  <c r="J276" i="3" s="1"/>
  <c r="G325" i="3"/>
  <c r="I325" i="3" s="1"/>
  <c r="J325" i="3" s="1"/>
  <c r="J249" i="3"/>
  <c r="G318" i="3"/>
  <c r="I318" i="3" s="1"/>
  <c r="J318" i="3" s="1"/>
  <c r="J242" i="3"/>
  <c r="G374" i="3"/>
  <c r="I374" i="3" s="1"/>
  <c r="J374" i="3" s="1"/>
  <c r="J298" i="3"/>
  <c r="G335" i="3"/>
  <c r="I335" i="3" s="1"/>
  <c r="J335" i="3" s="1"/>
  <c r="J259" i="3"/>
  <c r="J293" i="3"/>
  <c r="G369" i="3"/>
  <c r="I369" i="3" s="1"/>
  <c r="G332" i="3"/>
  <c r="I332" i="3" s="1"/>
  <c r="J332" i="3" s="1"/>
  <c r="G354" i="3"/>
  <c r="I354" i="3" s="1"/>
  <c r="J278" i="3"/>
  <c r="H377" i="3"/>
  <c r="H241" i="3"/>
  <c r="H243" i="3"/>
  <c r="H458" i="3"/>
  <c r="G380" i="3"/>
  <c r="I380" i="3" s="1"/>
  <c r="J380" i="3" s="1"/>
  <c r="H454" i="3"/>
  <c r="H294" i="3"/>
  <c r="H254" i="3"/>
  <c r="H239" i="3"/>
  <c r="I343" i="3"/>
  <c r="H343" i="3"/>
  <c r="I383" i="3"/>
  <c r="J383" i="3" s="1"/>
  <c r="H383" i="3"/>
  <c r="H296" i="3"/>
  <c r="I311" i="3"/>
  <c r="J311" i="3" s="1"/>
  <c r="H311" i="3"/>
  <c r="I367" i="3"/>
  <c r="J367" i="3" s="1"/>
  <c r="H367" i="3"/>
  <c r="I363" i="3"/>
  <c r="H363" i="3"/>
  <c r="G323" i="3"/>
  <c r="H323" i="3" s="1"/>
  <c r="G350" i="3"/>
  <c r="I350" i="3" s="1"/>
  <c r="I333" i="3"/>
  <c r="J333" i="3" s="1"/>
  <c r="H333" i="3"/>
  <c r="G384" i="3"/>
  <c r="I384" i="3" s="1"/>
  <c r="J384" i="3" s="1"/>
  <c r="H244" i="3"/>
  <c r="H407" i="3"/>
  <c r="H247" i="3"/>
  <c r="H261" i="3"/>
  <c r="H245" i="3"/>
  <c r="H455" i="3"/>
  <c r="H434" i="3"/>
  <c r="I326" i="3"/>
  <c r="H326" i="3"/>
  <c r="I313" i="3"/>
  <c r="J313" i="3" s="1"/>
  <c r="H313" i="3"/>
  <c r="I361" i="3"/>
  <c r="H361" i="3"/>
  <c r="I344" i="3"/>
  <c r="J344" i="3" s="1"/>
  <c r="H344" i="3"/>
  <c r="I345" i="3"/>
  <c r="H345" i="3"/>
  <c r="I341" i="3"/>
  <c r="J341" i="3" s="1"/>
  <c r="H341" i="3"/>
  <c r="I347" i="3"/>
  <c r="J347" i="3" s="1"/>
  <c r="H347" i="3"/>
  <c r="H278" i="3"/>
  <c r="H300" i="3"/>
  <c r="H403" i="3"/>
  <c r="G337" i="3"/>
  <c r="I337" i="3" s="1"/>
  <c r="J337" i="3" s="1"/>
  <c r="G320" i="3"/>
  <c r="I320" i="3" s="1"/>
  <c r="J320" i="3" s="1"/>
  <c r="I375" i="3"/>
  <c r="J375" i="3" s="1"/>
  <c r="G360" i="3"/>
  <c r="I360" i="3" s="1"/>
  <c r="J360" i="3" s="1"/>
  <c r="G339" i="3"/>
  <c r="I339" i="3" s="1"/>
  <c r="J339" i="3" s="1"/>
  <c r="G321" i="3"/>
  <c r="I321" i="3" s="1"/>
  <c r="J321" i="3" s="1"/>
  <c r="G370" i="3"/>
  <c r="I370" i="3" s="1"/>
  <c r="J370" i="3" s="1"/>
  <c r="G319" i="3"/>
  <c r="I319" i="3" s="1"/>
  <c r="J319" i="3" s="1"/>
  <c r="G324" i="3"/>
  <c r="G342" i="3"/>
  <c r="I342" i="3" s="1"/>
  <c r="J342" i="3" s="1"/>
  <c r="G355" i="3"/>
  <c r="I355" i="3" s="1"/>
  <c r="J355" i="3" s="1"/>
  <c r="G336" i="3"/>
  <c r="G340" i="3"/>
  <c r="H340" i="3" s="1"/>
  <c r="G453" i="3"/>
  <c r="G314" i="3"/>
  <c r="G449" i="3"/>
  <c r="G330" i="3"/>
  <c r="I330" i="3" s="1"/>
  <c r="J330" i="3" s="1"/>
  <c r="G310" i="3"/>
  <c r="H310" i="3" s="1"/>
  <c r="G531" i="3"/>
  <c r="I531" i="3" s="1"/>
  <c r="J531" i="3" s="1"/>
  <c r="G404" i="3"/>
  <c r="G317" i="3"/>
  <c r="I317" i="3" s="1"/>
  <c r="J317" i="3" s="1"/>
  <c r="G530" i="3"/>
  <c r="I530" i="3" s="1"/>
  <c r="J530" i="3" s="1"/>
  <c r="G280" i="3"/>
  <c r="I280" i="3" s="1"/>
  <c r="J280" i="3" s="1"/>
  <c r="G440" i="3"/>
  <c r="G438" i="3"/>
  <c r="G322" i="3"/>
  <c r="G381" i="3"/>
  <c r="G372" i="3"/>
  <c r="I372" i="3" s="1"/>
  <c r="J372" i="3" s="1"/>
  <c r="G424" i="3"/>
  <c r="G444" i="3"/>
  <c r="H283" i="3" l="1"/>
  <c r="J283" i="3"/>
  <c r="G359" i="3"/>
  <c r="I359" i="3" s="1"/>
  <c r="H517" i="3"/>
  <c r="G410" i="3"/>
  <c r="I410" i="3" s="1"/>
  <c r="J410" i="3" s="1"/>
  <c r="H334" i="3"/>
  <c r="H374" i="3"/>
  <c r="G312" i="3"/>
  <c r="I312" i="3" s="1"/>
  <c r="J312" i="3" s="1"/>
  <c r="G414" i="3"/>
  <c r="I414" i="3" s="1"/>
  <c r="J414" i="3" s="1"/>
  <c r="G401" i="3"/>
  <c r="I401" i="3" s="1"/>
  <c r="J401" i="3" s="1"/>
  <c r="H338" i="3"/>
  <c r="G422" i="3"/>
  <c r="I422" i="3" s="1"/>
  <c r="J422" i="3" s="1"/>
  <c r="G501" i="3"/>
  <c r="I501" i="3" s="1"/>
  <c r="J501" i="3" s="1"/>
  <c r="H425" i="3"/>
  <c r="H354" i="3"/>
  <c r="G509" i="3"/>
  <c r="I509" i="3" s="1"/>
  <c r="J509" i="3" s="1"/>
  <c r="G329" i="3"/>
  <c r="I329" i="3" s="1"/>
  <c r="J329" i="3" s="1"/>
  <c r="G408" i="3"/>
  <c r="I408" i="3" s="1"/>
  <c r="J408" i="3" s="1"/>
  <c r="G392" i="3"/>
  <c r="H392" i="3" s="1"/>
  <c r="H351" i="3"/>
  <c r="G411" i="3"/>
  <c r="I411" i="3" s="1"/>
  <c r="J411" i="3" s="1"/>
  <c r="G427" i="3"/>
  <c r="I427" i="3" s="1"/>
  <c r="J427" i="3" s="1"/>
  <c r="H316" i="3"/>
  <c r="H318" i="3"/>
  <c r="G353" i="3"/>
  <c r="H353" i="3" s="1"/>
  <c r="H346" i="3"/>
  <c r="H325" i="3"/>
  <c r="G409" i="3"/>
  <c r="I409" i="3" s="1"/>
  <c r="J409" i="3" s="1"/>
  <c r="H335" i="3"/>
  <c r="J354" i="3"/>
  <c r="G430" i="3"/>
  <c r="I430" i="3" s="1"/>
  <c r="J430" i="3" s="1"/>
  <c r="H276" i="3"/>
  <c r="H253" i="3"/>
  <c r="H332" i="3"/>
  <c r="G394" i="3"/>
  <c r="I394" i="3" s="1"/>
  <c r="J394" i="3" s="1"/>
  <c r="G389" i="3"/>
  <c r="I389" i="3" s="1"/>
  <c r="J389" i="3" s="1"/>
  <c r="H433" i="3"/>
  <c r="H371" i="3"/>
  <c r="G439" i="3"/>
  <c r="I439" i="3" s="1"/>
  <c r="J439" i="3" s="1"/>
  <c r="J363" i="3"/>
  <c r="G426" i="3"/>
  <c r="I426" i="3" s="1"/>
  <c r="J426" i="3" s="1"/>
  <c r="J350" i="3"/>
  <c r="G402" i="3"/>
  <c r="I402" i="3" s="1"/>
  <c r="J402" i="3" s="1"/>
  <c r="J326" i="3"/>
  <c r="J369" i="3"/>
  <c r="G445" i="3"/>
  <c r="I445" i="3" s="1"/>
  <c r="H366" i="3"/>
  <c r="G442" i="3"/>
  <c r="I442" i="3" s="1"/>
  <c r="J442" i="3" s="1"/>
  <c r="G421" i="3"/>
  <c r="I421" i="3" s="1"/>
  <c r="J421" i="3" s="1"/>
  <c r="J345" i="3"/>
  <c r="G437" i="3"/>
  <c r="I437" i="3" s="1"/>
  <c r="J437" i="3" s="1"/>
  <c r="J361" i="3"/>
  <c r="G419" i="3"/>
  <c r="I419" i="3" s="1"/>
  <c r="J419" i="3" s="1"/>
  <c r="J343" i="3"/>
  <c r="H369" i="3"/>
  <c r="H339" i="3"/>
  <c r="H350" i="3"/>
  <c r="I323" i="3"/>
  <c r="J323" i="3" s="1"/>
  <c r="H370" i="3"/>
  <c r="G456" i="3"/>
  <c r="I456" i="3" s="1"/>
  <c r="J456" i="3" s="1"/>
  <c r="H319" i="3"/>
  <c r="H380" i="3"/>
  <c r="I322" i="3"/>
  <c r="H322" i="3"/>
  <c r="I438" i="3"/>
  <c r="J438" i="3" s="1"/>
  <c r="H438" i="3"/>
  <c r="I424" i="3"/>
  <c r="H424" i="3"/>
  <c r="G443" i="3"/>
  <c r="I443" i="3" s="1"/>
  <c r="J443" i="3" s="1"/>
  <c r="I440" i="3"/>
  <c r="J440" i="3" s="1"/>
  <c r="H440" i="3"/>
  <c r="I404" i="3"/>
  <c r="J404" i="3" s="1"/>
  <c r="H404" i="3"/>
  <c r="I314" i="3"/>
  <c r="J314" i="3" s="1"/>
  <c r="H314" i="3"/>
  <c r="I324" i="3"/>
  <c r="H324" i="3"/>
  <c r="H320" i="3"/>
  <c r="H530" i="3"/>
  <c r="H337" i="3"/>
  <c r="H280" i="3"/>
  <c r="H330" i="3"/>
  <c r="H372" i="3"/>
  <c r="H384" i="3"/>
  <c r="I381" i="3"/>
  <c r="J381" i="3" s="1"/>
  <c r="H381" i="3"/>
  <c r="I449" i="3"/>
  <c r="J449" i="3" s="1"/>
  <c r="H449" i="3"/>
  <c r="I453" i="3"/>
  <c r="J453" i="3" s="1"/>
  <c r="H453" i="3"/>
  <c r="I444" i="3"/>
  <c r="J444" i="3" s="1"/>
  <c r="H444" i="3"/>
  <c r="G460" i="3"/>
  <c r="I460" i="3" s="1"/>
  <c r="J460" i="3" s="1"/>
  <c r="I336" i="3"/>
  <c r="J336" i="3" s="1"/>
  <c r="H336" i="3"/>
  <c r="G423" i="3"/>
  <c r="I423" i="3" s="1"/>
  <c r="J423" i="3" s="1"/>
  <c r="G420" i="3"/>
  <c r="I420" i="3" s="1"/>
  <c r="G387" i="3"/>
  <c r="I387" i="3" s="1"/>
  <c r="H321" i="3"/>
  <c r="H360" i="3"/>
  <c r="H317" i="3"/>
  <c r="H531" i="3"/>
  <c r="H342" i="3"/>
  <c r="H355" i="3"/>
  <c r="I310" i="3"/>
  <c r="G396" i="3"/>
  <c r="I396" i="3" s="1"/>
  <c r="J396" i="3" s="1"/>
  <c r="G451" i="3"/>
  <c r="I451" i="3" s="1"/>
  <c r="J451" i="3" s="1"/>
  <c r="I340" i="3"/>
  <c r="J340" i="3" s="1"/>
  <c r="G431" i="3"/>
  <c r="I431" i="3" s="1"/>
  <c r="J431" i="3" s="1"/>
  <c r="G418" i="3"/>
  <c r="I418" i="3" s="1"/>
  <c r="J418" i="3" s="1"/>
  <c r="G459" i="3"/>
  <c r="I459" i="3" s="1"/>
  <c r="J459" i="3" s="1"/>
  <c r="G315" i="3"/>
  <c r="G413" i="3"/>
  <c r="I413" i="3" s="1"/>
  <c r="J413" i="3" s="1"/>
  <c r="G393" i="3"/>
  <c r="I393" i="3" s="1"/>
  <c r="J393" i="3" s="1"/>
  <c r="G415" i="3"/>
  <c r="I415" i="3" s="1"/>
  <c r="J415" i="3" s="1"/>
  <c r="G395" i="3"/>
  <c r="I395" i="3" s="1"/>
  <c r="J395" i="3" s="1"/>
  <c r="G436" i="3"/>
  <c r="I436" i="3" s="1"/>
  <c r="J436" i="3" s="1"/>
  <c r="G352" i="3"/>
  <c r="G376" i="3"/>
  <c r="G510" i="3"/>
  <c r="H510" i="3" s="1"/>
  <c r="G450" i="3"/>
  <c r="G448" i="3"/>
  <c r="I448" i="3" s="1"/>
  <c r="J448" i="3" s="1"/>
  <c r="G447" i="3"/>
  <c r="G417" i="3"/>
  <c r="I417" i="3" s="1"/>
  <c r="J417" i="3" s="1"/>
  <c r="G534" i="3"/>
  <c r="G593" i="3"/>
  <c r="G479" i="3"/>
  <c r="G406" i="3"/>
  <c r="I406" i="3" s="1"/>
  <c r="J406" i="3" s="1"/>
  <c r="G483" i="3"/>
  <c r="G356" i="3"/>
  <c r="I356" i="3" s="1"/>
  <c r="J356" i="3" s="1"/>
  <c r="G461" i="3"/>
  <c r="G397" i="3"/>
  <c r="I397" i="3" s="1"/>
  <c r="J397" i="3" s="1"/>
  <c r="G607" i="3"/>
  <c r="I607" i="3" s="1"/>
  <c r="J607" i="3" s="1"/>
  <c r="G606" i="3"/>
  <c r="I606" i="3" s="1"/>
  <c r="J606" i="3" s="1"/>
  <c r="H359" i="3" l="1"/>
  <c r="J359" i="3"/>
  <c r="G435" i="3"/>
  <c r="I435" i="3" s="1"/>
  <c r="H410" i="3"/>
  <c r="G486" i="3"/>
  <c r="I486" i="3" s="1"/>
  <c r="J486" i="3" s="1"/>
  <c r="H312" i="3"/>
  <c r="G388" i="3"/>
  <c r="I388" i="3" s="1"/>
  <c r="J388" i="3" s="1"/>
  <c r="G490" i="3"/>
  <c r="I490" i="3" s="1"/>
  <c r="J490" i="3" s="1"/>
  <c r="H414" i="3"/>
  <c r="G477" i="3"/>
  <c r="I477" i="3" s="1"/>
  <c r="J477" i="3" s="1"/>
  <c r="H401" i="3"/>
  <c r="H422" i="3"/>
  <c r="H509" i="3"/>
  <c r="H501" i="3"/>
  <c r="H427" i="3"/>
  <c r="I353" i="3"/>
  <c r="J353" i="3" s="1"/>
  <c r="H426" i="3"/>
  <c r="H402" i="3"/>
  <c r="H411" i="3"/>
  <c r="H442" i="3"/>
  <c r="G399" i="3"/>
  <c r="I399" i="3" s="1"/>
  <c r="J399" i="3" s="1"/>
  <c r="I392" i="3"/>
  <c r="J392" i="3" s="1"/>
  <c r="G585" i="3"/>
  <c r="I585" i="3" s="1"/>
  <c r="J585" i="3" s="1"/>
  <c r="H329" i="3"/>
  <c r="H389" i="3"/>
  <c r="H419" i="3"/>
  <c r="G495" i="3"/>
  <c r="I495" i="3" s="1"/>
  <c r="J495" i="3" s="1"/>
  <c r="G503" i="3"/>
  <c r="I503" i="3" s="1"/>
  <c r="J503" i="3" s="1"/>
  <c r="H409" i="3"/>
  <c r="G485" i="3"/>
  <c r="I485" i="3" s="1"/>
  <c r="J485" i="3" s="1"/>
  <c r="G518" i="3"/>
  <c r="I518" i="3" s="1"/>
  <c r="J518" i="3" s="1"/>
  <c r="G484" i="3"/>
  <c r="H484" i="3" s="1"/>
  <c r="G497" i="3"/>
  <c r="I497" i="3" s="1"/>
  <c r="J497" i="3" s="1"/>
  <c r="H408" i="3"/>
  <c r="H430" i="3"/>
  <c r="H394" i="3"/>
  <c r="G515" i="3"/>
  <c r="I515" i="3" s="1"/>
  <c r="J515" i="3" s="1"/>
  <c r="H437" i="3"/>
  <c r="G470" i="3"/>
  <c r="I470" i="3" s="1"/>
  <c r="J470" i="3" s="1"/>
  <c r="G478" i="3"/>
  <c r="I478" i="3" s="1"/>
  <c r="J478" i="3" s="1"/>
  <c r="G513" i="3"/>
  <c r="I513" i="3" s="1"/>
  <c r="J513" i="3" s="1"/>
  <c r="H439" i="3"/>
  <c r="G499" i="3"/>
  <c r="I499" i="3" s="1"/>
  <c r="J499" i="3" s="1"/>
  <c r="G502" i="3"/>
  <c r="I502" i="3" s="1"/>
  <c r="J502" i="3" s="1"/>
  <c r="G529" i="3"/>
  <c r="I529" i="3" s="1"/>
  <c r="J529" i="3" s="1"/>
  <c r="G496" i="3"/>
  <c r="I496" i="3" s="1"/>
  <c r="J496" i="3" s="1"/>
  <c r="J420" i="3"/>
  <c r="J445" i="3"/>
  <c r="G521" i="3"/>
  <c r="H521" i="3" s="1"/>
  <c r="G386" i="3"/>
  <c r="I386" i="3" s="1"/>
  <c r="J386" i="3" s="1"/>
  <c r="J310" i="3"/>
  <c r="H421" i="3"/>
  <c r="G400" i="3"/>
  <c r="I400" i="3" s="1"/>
  <c r="J400" i="3" s="1"/>
  <c r="J324" i="3"/>
  <c r="G500" i="3"/>
  <c r="I500" i="3" s="1"/>
  <c r="J500" i="3" s="1"/>
  <c r="J424" i="3"/>
  <c r="G398" i="3"/>
  <c r="I398" i="3" s="1"/>
  <c r="J398" i="3" s="1"/>
  <c r="J322" i="3"/>
  <c r="G463" i="3"/>
  <c r="I463" i="3" s="1"/>
  <c r="J463" i="3" s="1"/>
  <c r="J387" i="3"/>
  <c r="H445" i="3"/>
  <c r="H606" i="3"/>
  <c r="H395" i="3"/>
  <c r="I483" i="3"/>
  <c r="H483" i="3"/>
  <c r="I315" i="3"/>
  <c r="J315" i="3" s="1"/>
  <c r="H315" i="3"/>
  <c r="G506" i="3"/>
  <c r="H506" i="3" s="1"/>
  <c r="H396" i="3"/>
  <c r="H418" i="3"/>
  <c r="H443" i="3"/>
  <c r="H397" i="3"/>
  <c r="H415" i="3"/>
  <c r="H607" i="3"/>
  <c r="I461" i="3"/>
  <c r="J461" i="3" s="1"/>
  <c r="H461" i="3"/>
  <c r="I593" i="3"/>
  <c r="J593" i="3" s="1"/>
  <c r="H593" i="3"/>
  <c r="I447" i="3"/>
  <c r="J447" i="3" s="1"/>
  <c r="H447" i="3"/>
  <c r="I450" i="3"/>
  <c r="J450" i="3" s="1"/>
  <c r="H450" i="3"/>
  <c r="I352" i="3"/>
  <c r="J352" i="3" s="1"/>
  <c r="H352" i="3"/>
  <c r="H417" i="3"/>
  <c r="G412" i="3"/>
  <c r="I412" i="3" s="1"/>
  <c r="H423" i="3"/>
  <c r="H431" i="3"/>
  <c r="H448" i="3"/>
  <c r="I479" i="3"/>
  <c r="H479" i="3"/>
  <c r="I376" i="3"/>
  <c r="H376" i="3"/>
  <c r="G519" i="3"/>
  <c r="I519" i="3" s="1"/>
  <c r="I534" i="3"/>
  <c r="J534" i="3" s="1"/>
  <c r="H534" i="3"/>
  <c r="H459" i="3"/>
  <c r="H356" i="3"/>
  <c r="H451" i="3"/>
  <c r="H393" i="3"/>
  <c r="H387" i="3"/>
  <c r="H420" i="3"/>
  <c r="H460" i="3"/>
  <c r="G525" i="3"/>
  <c r="I525" i="3" s="1"/>
  <c r="H406" i="3"/>
  <c r="H413" i="3"/>
  <c r="H436" i="3"/>
  <c r="H456" i="3"/>
  <c r="G527" i="3"/>
  <c r="I527" i="3" s="1"/>
  <c r="J527" i="3" s="1"/>
  <c r="G489" i="3"/>
  <c r="I489" i="3" s="1"/>
  <c r="J489" i="3" s="1"/>
  <c r="I510" i="3"/>
  <c r="J510" i="3" s="1"/>
  <c r="G416" i="3"/>
  <c r="I416" i="3" s="1"/>
  <c r="J416" i="3" s="1"/>
  <c r="G507" i="3"/>
  <c r="I507" i="3" s="1"/>
  <c r="J507" i="3" s="1"/>
  <c r="G471" i="3"/>
  <c r="I471" i="3" s="1"/>
  <c r="J471" i="3" s="1"/>
  <c r="G512" i="3"/>
  <c r="I512" i="3" s="1"/>
  <c r="J512" i="3" s="1"/>
  <c r="G446" i="3"/>
  <c r="G469" i="3"/>
  <c r="I469" i="3" s="1"/>
  <c r="J469" i="3" s="1"/>
  <c r="G535" i="3"/>
  <c r="I535" i="3" s="1"/>
  <c r="J535" i="3" s="1"/>
  <c r="G494" i="3"/>
  <c r="I494" i="3" s="1"/>
  <c r="J494" i="3" s="1"/>
  <c r="G472" i="3"/>
  <c r="I472" i="3" s="1"/>
  <c r="J472" i="3" s="1"/>
  <c r="G491" i="3"/>
  <c r="I491" i="3" s="1"/>
  <c r="J491" i="3" s="1"/>
  <c r="G480" i="3"/>
  <c r="I480" i="3" s="1"/>
  <c r="J480" i="3" s="1"/>
  <c r="G498" i="3"/>
  <c r="G390" i="3"/>
  <c r="I390" i="3" s="1"/>
  <c r="J390" i="3" s="1"/>
  <c r="G520" i="3"/>
  <c r="I520" i="3" s="1"/>
  <c r="J520" i="3" s="1"/>
  <c r="G532" i="3"/>
  <c r="I532" i="3" s="1"/>
  <c r="J532" i="3" s="1"/>
  <c r="G577" i="3"/>
  <c r="G487" i="3"/>
  <c r="G473" i="3"/>
  <c r="I473" i="3" s="1"/>
  <c r="J473" i="3" s="1"/>
  <c r="G465" i="3"/>
  <c r="G524" i="3"/>
  <c r="I524" i="3" s="1"/>
  <c r="J524" i="3" s="1"/>
  <c r="G683" i="3"/>
  <c r="I683" i="3" s="1"/>
  <c r="J683" i="3" s="1"/>
  <c r="G514" i="3"/>
  <c r="I514" i="3" s="1"/>
  <c r="J514" i="3" s="1"/>
  <c r="G482" i="3"/>
  <c r="I482" i="3" s="1"/>
  <c r="J482" i="3" s="1"/>
  <c r="G536" i="3"/>
  <c r="I536" i="3" s="1"/>
  <c r="J536" i="3" s="1"/>
  <c r="G405" i="3"/>
  <c r="G457" i="3"/>
  <c r="I457" i="3" s="1"/>
  <c r="J457" i="3" s="1"/>
  <c r="G516" i="3"/>
  <c r="I516" i="3" s="1"/>
  <c r="J516" i="3" s="1"/>
  <c r="G682" i="3"/>
  <c r="I682" i="3" s="1"/>
  <c r="J682" i="3" s="1"/>
  <c r="H435" i="3" l="1"/>
  <c r="J435" i="3"/>
  <c r="G511" i="3"/>
  <c r="G566" i="3"/>
  <c r="I566" i="3" s="1"/>
  <c r="J566" i="3" s="1"/>
  <c r="H490" i="3"/>
  <c r="G553" i="3"/>
  <c r="I553" i="3" s="1"/>
  <c r="J553" i="3" s="1"/>
  <c r="H477" i="3"/>
  <c r="H388" i="3"/>
  <c r="G464" i="3"/>
  <c r="I464" i="3" s="1"/>
  <c r="J464" i="3" s="1"/>
  <c r="G562" i="3"/>
  <c r="I562" i="3" s="1"/>
  <c r="J562" i="3" s="1"/>
  <c r="H486" i="3"/>
  <c r="G661" i="3"/>
  <c r="I661" i="3" s="1"/>
  <c r="J661" i="3" s="1"/>
  <c r="H495" i="3"/>
  <c r="G468" i="3"/>
  <c r="H468" i="3" s="1"/>
  <c r="G429" i="3"/>
  <c r="I429" i="3" s="1"/>
  <c r="J429" i="3" s="1"/>
  <c r="H497" i="3"/>
  <c r="H585" i="3"/>
  <c r="H400" i="3"/>
  <c r="I484" i="3"/>
  <c r="J484" i="3" s="1"/>
  <c r="G475" i="3"/>
  <c r="I475" i="3" s="1"/>
  <c r="J475" i="3" s="1"/>
  <c r="H399" i="3"/>
  <c r="G546" i="3"/>
  <c r="I546" i="3" s="1"/>
  <c r="J546" i="3" s="1"/>
  <c r="G579" i="3"/>
  <c r="I579" i="3" s="1"/>
  <c r="J579" i="3" s="1"/>
  <c r="G610" i="3"/>
  <c r="I610" i="3" s="1"/>
  <c r="J610" i="3" s="1"/>
  <c r="H503" i="3"/>
  <c r="H518" i="3"/>
  <c r="G594" i="3"/>
  <c r="I594" i="3" s="1"/>
  <c r="J594" i="3" s="1"/>
  <c r="H485" i="3"/>
  <c r="H386" i="3"/>
  <c r="G589" i="3"/>
  <c r="I589" i="3" s="1"/>
  <c r="J589" i="3" s="1"/>
  <c r="H515" i="3"/>
  <c r="H513" i="3"/>
  <c r="G476" i="3"/>
  <c r="I476" i="3" s="1"/>
  <c r="J476" i="3" s="1"/>
  <c r="H478" i="3"/>
  <c r="G591" i="3"/>
  <c r="I591" i="3" s="1"/>
  <c r="J591" i="3" s="1"/>
  <c r="G605" i="3"/>
  <c r="I605" i="3" s="1"/>
  <c r="J605" i="3" s="1"/>
  <c r="H529" i="3"/>
  <c r="H470" i="3"/>
  <c r="G554" i="3"/>
  <c r="I554" i="3" s="1"/>
  <c r="J554" i="3" s="1"/>
  <c r="H502" i="3"/>
  <c r="H496" i="3"/>
  <c r="G539" i="3"/>
  <c r="I539" i="3" s="1"/>
  <c r="J539" i="3" s="1"/>
  <c r="G578" i="3"/>
  <c r="I578" i="3" s="1"/>
  <c r="J578" i="3" s="1"/>
  <c r="H500" i="3"/>
  <c r="H463" i="3"/>
  <c r="G575" i="3"/>
  <c r="I575" i="3" s="1"/>
  <c r="J575" i="3" s="1"/>
  <c r="H499" i="3"/>
  <c r="G462" i="3"/>
  <c r="I462" i="3" s="1"/>
  <c r="J462" i="3" s="1"/>
  <c r="G601" i="3"/>
  <c r="I601" i="3" s="1"/>
  <c r="J601" i="3" s="1"/>
  <c r="J525" i="3"/>
  <c r="G559" i="3"/>
  <c r="I559" i="3" s="1"/>
  <c r="J559" i="3" s="1"/>
  <c r="J483" i="3"/>
  <c r="G452" i="3"/>
  <c r="I452" i="3" s="1"/>
  <c r="J452" i="3" s="1"/>
  <c r="J376" i="3"/>
  <c r="G428" i="3"/>
  <c r="I428" i="3" s="1"/>
  <c r="J428" i="3" s="1"/>
  <c r="I521" i="3"/>
  <c r="G488" i="3"/>
  <c r="I488" i="3" s="1"/>
  <c r="J488" i="3" s="1"/>
  <c r="J412" i="3"/>
  <c r="G537" i="3"/>
  <c r="I537" i="3" s="1"/>
  <c r="J537" i="3" s="1"/>
  <c r="G474" i="3"/>
  <c r="I474" i="3" s="1"/>
  <c r="J474" i="3" s="1"/>
  <c r="H398" i="3"/>
  <c r="G595" i="3"/>
  <c r="I595" i="3" s="1"/>
  <c r="J595" i="3" s="1"/>
  <c r="J519" i="3"/>
  <c r="G555" i="3"/>
  <c r="I555" i="3" s="1"/>
  <c r="J555" i="3" s="1"/>
  <c r="J479" i="3"/>
  <c r="H519" i="3"/>
  <c r="H412" i="3"/>
  <c r="H527" i="3"/>
  <c r="H683" i="3"/>
  <c r="H457" i="3"/>
  <c r="I506" i="3"/>
  <c r="J506" i="3" s="1"/>
  <c r="H480" i="3"/>
  <c r="H512" i="3"/>
  <c r="I405" i="3"/>
  <c r="J405" i="3" s="1"/>
  <c r="H405" i="3"/>
  <c r="H482" i="3"/>
  <c r="H536" i="3"/>
  <c r="H507" i="3"/>
  <c r="H525" i="3"/>
  <c r="H491" i="3"/>
  <c r="I465" i="3"/>
  <c r="J465" i="3" s="1"/>
  <c r="H465" i="3"/>
  <c r="I577" i="3"/>
  <c r="J577" i="3" s="1"/>
  <c r="H577" i="3"/>
  <c r="H471" i="3"/>
  <c r="H532" i="3"/>
  <c r="H516" i="3"/>
  <c r="H489" i="3"/>
  <c r="H682" i="3"/>
  <c r="H472" i="3"/>
  <c r="H535" i="3"/>
  <c r="H473" i="3"/>
  <c r="I498" i="3"/>
  <c r="H498" i="3"/>
  <c r="I487" i="3"/>
  <c r="J487" i="3" s="1"/>
  <c r="H487" i="3"/>
  <c r="G391" i="3"/>
  <c r="I391" i="3" s="1"/>
  <c r="J391" i="3" s="1"/>
  <c r="I446" i="3"/>
  <c r="J446" i="3" s="1"/>
  <c r="H446" i="3"/>
  <c r="H520" i="3"/>
  <c r="H416" i="3"/>
  <c r="H524" i="3"/>
  <c r="H390" i="3"/>
  <c r="H494" i="3"/>
  <c r="H469" i="3"/>
  <c r="G523" i="3"/>
  <c r="I523" i="3" s="1"/>
  <c r="J523" i="3" s="1"/>
  <c r="H514" i="3"/>
  <c r="G603" i="3"/>
  <c r="I603" i="3" s="1"/>
  <c r="J603" i="3" s="1"/>
  <c r="G565" i="3"/>
  <c r="I565" i="3" s="1"/>
  <c r="J565" i="3" s="1"/>
  <c r="G588" i="3"/>
  <c r="I588" i="3" s="1"/>
  <c r="J588" i="3" s="1"/>
  <c r="G492" i="3"/>
  <c r="I492" i="3" s="1"/>
  <c r="J492" i="3" s="1"/>
  <c r="G586" i="3"/>
  <c r="I586" i="3" s="1"/>
  <c r="J586" i="3" s="1"/>
  <c r="G570" i="3"/>
  <c r="I570" i="3" s="1"/>
  <c r="J570" i="3" s="1"/>
  <c r="G556" i="3"/>
  <c r="I556" i="3" s="1"/>
  <c r="J556" i="3" s="1"/>
  <c r="G548" i="3"/>
  <c r="I548" i="3" s="1"/>
  <c r="J548" i="3" s="1"/>
  <c r="G583" i="3"/>
  <c r="I583" i="3" s="1"/>
  <c r="J583" i="3" s="1"/>
  <c r="G567" i="3"/>
  <c r="I567" i="3" s="1"/>
  <c r="J567" i="3" s="1"/>
  <c r="G526" i="3"/>
  <c r="I526" i="3" s="1"/>
  <c r="J526" i="3" s="1"/>
  <c r="G561" i="3"/>
  <c r="G669" i="3"/>
  <c r="I669" i="3" s="1"/>
  <c r="J669" i="3" s="1"/>
  <c r="G611" i="3"/>
  <c r="I611" i="3" s="1"/>
  <c r="J611" i="3" s="1"/>
  <c r="G573" i="3"/>
  <c r="G493" i="3"/>
  <c r="G596" i="3"/>
  <c r="I596" i="3" s="1"/>
  <c r="J596" i="3" s="1"/>
  <c r="G547" i="3"/>
  <c r="I547" i="3" s="1"/>
  <c r="J547" i="3" s="1"/>
  <c r="G466" i="3"/>
  <c r="I466" i="3" s="1"/>
  <c r="J466" i="3" s="1"/>
  <c r="G638" i="3"/>
  <c r="I638" i="3" s="1"/>
  <c r="J638" i="3" s="1"/>
  <c r="G576" i="3"/>
  <c r="G612" i="3"/>
  <c r="I612" i="3" s="1"/>
  <c r="J612" i="3" s="1"/>
  <c r="G432" i="3"/>
  <c r="G558" i="3"/>
  <c r="I558" i="3" s="1"/>
  <c r="J558" i="3" s="1"/>
  <c r="G545" i="3"/>
  <c r="I545" i="3" s="1"/>
  <c r="J545" i="3" s="1"/>
  <c r="G590" i="3"/>
  <c r="I590" i="3" s="1"/>
  <c r="J590" i="3" s="1"/>
  <c r="G571" i="3"/>
  <c r="G759" i="3"/>
  <c r="I759" i="3" s="1"/>
  <c r="J759" i="3" s="1"/>
  <c r="G549" i="3"/>
  <c r="I549" i="3" s="1"/>
  <c r="J549" i="3" s="1"/>
  <c r="G600" i="3"/>
  <c r="I600" i="3" s="1"/>
  <c r="J600" i="3" s="1"/>
  <c r="G572" i="3"/>
  <c r="H553" i="3" l="1"/>
  <c r="I511" i="3"/>
  <c r="H511" i="3"/>
  <c r="H562" i="3"/>
  <c r="G629" i="3"/>
  <c r="I629" i="3" s="1"/>
  <c r="J629" i="3" s="1"/>
  <c r="G642" i="3"/>
  <c r="I642" i="3" s="1"/>
  <c r="J642" i="3" s="1"/>
  <c r="G737" i="3"/>
  <c r="I737" i="3" s="1"/>
  <c r="J737" i="3" s="1"/>
  <c r="H566" i="3"/>
  <c r="H661" i="3"/>
  <c r="I468" i="3"/>
  <c r="J468" i="3" s="1"/>
  <c r="H464" i="3"/>
  <c r="G540" i="3"/>
  <c r="G667" i="3"/>
  <c r="I667" i="3" s="1"/>
  <c r="J667" i="3" s="1"/>
  <c r="H475" i="3"/>
  <c r="G551" i="3"/>
  <c r="I551" i="3" s="1"/>
  <c r="J551" i="3" s="1"/>
  <c r="H579" i="3"/>
  <c r="G505" i="3"/>
  <c r="I505" i="3" s="1"/>
  <c r="J505" i="3" s="1"/>
  <c r="H429" i="3"/>
  <c r="H610" i="3"/>
  <c r="G686" i="3"/>
  <c r="I686" i="3" s="1"/>
  <c r="J686" i="3" s="1"/>
  <c r="G671" i="3"/>
  <c r="I671" i="3" s="1"/>
  <c r="J671" i="3" s="1"/>
  <c r="G560" i="3"/>
  <c r="I560" i="3" s="1"/>
  <c r="J560" i="3" s="1"/>
  <c r="G615" i="3"/>
  <c r="I615" i="3" s="1"/>
  <c r="J615" i="3" s="1"/>
  <c r="G665" i="3"/>
  <c r="I665" i="3" s="1"/>
  <c r="J665" i="3" s="1"/>
  <c r="H539" i="3"/>
  <c r="G622" i="3"/>
  <c r="I622" i="3" s="1"/>
  <c r="J622" i="3" s="1"/>
  <c r="G651" i="3"/>
  <c r="I651" i="3" s="1"/>
  <c r="J651" i="3" s="1"/>
  <c r="H476" i="3"/>
  <c r="H575" i="3"/>
  <c r="G670" i="3"/>
  <c r="I670" i="3" s="1"/>
  <c r="J670" i="3" s="1"/>
  <c r="H594" i="3"/>
  <c r="G655" i="3"/>
  <c r="I655" i="3" s="1"/>
  <c r="J655" i="3" s="1"/>
  <c r="H589" i="3"/>
  <c r="H546" i="3"/>
  <c r="G630" i="3"/>
  <c r="I630" i="3" s="1"/>
  <c r="J630" i="3" s="1"/>
  <c r="G564" i="3"/>
  <c r="I564" i="3" s="1"/>
  <c r="J564" i="3" s="1"/>
  <c r="H559" i="3"/>
  <c r="G635" i="3"/>
  <c r="I635" i="3" s="1"/>
  <c r="J635" i="3" s="1"/>
  <c r="G504" i="3"/>
  <c r="I504" i="3" s="1"/>
  <c r="J504" i="3" s="1"/>
  <c r="G654" i="3"/>
  <c r="I654" i="3" s="1"/>
  <c r="J654" i="3" s="1"/>
  <c r="H428" i="3"/>
  <c r="H554" i="3"/>
  <c r="H578" i="3"/>
  <c r="H605" i="3"/>
  <c r="H591" i="3"/>
  <c r="G552" i="3"/>
  <c r="I552" i="3" s="1"/>
  <c r="J552" i="3" s="1"/>
  <c r="G538" i="3"/>
  <c r="I538" i="3" s="1"/>
  <c r="J538" i="3" s="1"/>
  <c r="H595" i="3"/>
  <c r="H474" i="3"/>
  <c r="H488" i="3"/>
  <c r="H537" i="3"/>
  <c r="H452" i="3"/>
  <c r="G613" i="3"/>
  <c r="I613" i="3" s="1"/>
  <c r="J613" i="3" s="1"/>
  <c r="G631" i="3"/>
  <c r="I631" i="3" s="1"/>
  <c r="J631" i="3" s="1"/>
  <c r="G522" i="3"/>
  <c r="I522" i="3" s="1"/>
  <c r="J522" i="3" s="1"/>
  <c r="G528" i="3"/>
  <c r="I528" i="3" s="1"/>
  <c r="J528" i="3" s="1"/>
  <c r="G481" i="3"/>
  <c r="I481" i="3" s="1"/>
  <c r="J481" i="3" s="1"/>
  <c r="G541" i="3"/>
  <c r="I541" i="3" s="1"/>
  <c r="J541" i="3" s="1"/>
  <c r="G677" i="3"/>
  <c r="I677" i="3" s="1"/>
  <c r="J677" i="3" s="1"/>
  <c r="H462" i="3"/>
  <c r="H555" i="3"/>
  <c r="H601" i="3"/>
  <c r="G574" i="3"/>
  <c r="I574" i="3" s="1"/>
  <c r="J574" i="3" s="1"/>
  <c r="J498" i="3"/>
  <c r="G597" i="3"/>
  <c r="I597" i="3" s="1"/>
  <c r="J521" i="3"/>
  <c r="G582" i="3"/>
  <c r="I582" i="3" s="1"/>
  <c r="J582" i="3" s="1"/>
  <c r="H565" i="3"/>
  <c r="H567" i="3"/>
  <c r="H526" i="3"/>
  <c r="H523" i="3"/>
  <c r="H600" i="3"/>
  <c r="H545" i="3"/>
  <c r="I576" i="3"/>
  <c r="J576" i="3" s="1"/>
  <c r="H576" i="3"/>
  <c r="H596" i="3"/>
  <c r="H558" i="3"/>
  <c r="H548" i="3"/>
  <c r="H391" i="3"/>
  <c r="H549" i="3"/>
  <c r="H492" i="3"/>
  <c r="H611" i="3"/>
  <c r="H547" i="3"/>
  <c r="I572" i="3"/>
  <c r="H572" i="3"/>
  <c r="I493" i="3"/>
  <c r="J493" i="3" s="1"/>
  <c r="H493" i="3"/>
  <c r="G599" i="3"/>
  <c r="I599" i="3" s="1"/>
  <c r="J599" i="3" s="1"/>
  <c r="H603" i="3"/>
  <c r="H556" i="3"/>
  <c r="H638" i="3"/>
  <c r="H590" i="3"/>
  <c r="H583" i="3"/>
  <c r="H570" i="3"/>
  <c r="I573" i="3"/>
  <c r="J573" i="3" s="1"/>
  <c r="H573" i="3"/>
  <c r="H759" i="3"/>
  <c r="I571" i="3"/>
  <c r="J571" i="3" s="1"/>
  <c r="H571" i="3"/>
  <c r="I432" i="3"/>
  <c r="J432" i="3" s="1"/>
  <c r="H432" i="3"/>
  <c r="I561" i="3"/>
  <c r="J561" i="3" s="1"/>
  <c r="H561" i="3"/>
  <c r="G467" i="3"/>
  <c r="I467" i="3" s="1"/>
  <c r="J467" i="3" s="1"/>
  <c r="H586" i="3"/>
  <c r="H588" i="3"/>
  <c r="H466" i="3"/>
  <c r="H612" i="3"/>
  <c r="H669" i="3"/>
  <c r="G662" i="3"/>
  <c r="H662" i="3" s="1"/>
  <c r="G643" i="3"/>
  <c r="I643" i="3" s="1"/>
  <c r="J643" i="3" s="1"/>
  <c r="G641" i="3"/>
  <c r="I641" i="3" s="1"/>
  <c r="J641" i="3" s="1"/>
  <c r="G568" i="3"/>
  <c r="I568" i="3" s="1"/>
  <c r="J568" i="3" s="1"/>
  <c r="G679" i="3"/>
  <c r="I679" i="3" s="1"/>
  <c r="J679" i="3" s="1"/>
  <c r="G664" i="3"/>
  <c r="I664" i="3" s="1"/>
  <c r="J664" i="3" s="1"/>
  <c r="G623" i="3"/>
  <c r="I623" i="3" s="1"/>
  <c r="J623" i="3" s="1"/>
  <c r="G602" i="3"/>
  <c r="I602" i="3" s="1"/>
  <c r="J602" i="3" s="1"/>
  <c r="G646" i="3"/>
  <c r="I646" i="3" s="1"/>
  <c r="J646" i="3" s="1"/>
  <c r="G745" i="3"/>
  <c r="I745" i="3" s="1"/>
  <c r="J745" i="3" s="1"/>
  <c r="G624" i="3"/>
  <c r="I624" i="3" s="1"/>
  <c r="J624" i="3" s="1"/>
  <c r="G687" i="3"/>
  <c r="I687" i="3" s="1"/>
  <c r="J687" i="3" s="1"/>
  <c r="G608" i="3"/>
  <c r="G681" i="3"/>
  <c r="G672" i="3"/>
  <c r="I672" i="3" s="1"/>
  <c r="J672" i="3" s="1"/>
  <c r="G653" i="3"/>
  <c r="I653" i="3" s="1"/>
  <c r="J653" i="3" s="1"/>
  <c r="G563" i="3"/>
  <c r="I563" i="3" s="1"/>
  <c r="J563" i="3" s="1"/>
  <c r="G634" i="3"/>
  <c r="I634" i="3" s="1"/>
  <c r="J634" i="3" s="1"/>
  <c r="G621" i="3"/>
  <c r="I621" i="3" s="1"/>
  <c r="J621" i="3" s="1"/>
  <c r="G758" i="3"/>
  <c r="G550" i="3"/>
  <c r="G666" i="3"/>
  <c r="I666" i="3" s="1"/>
  <c r="J666" i="3" s="1"/>
  <c r="G632" i="3"/>
  <c r="I632" i="3" s="1"/>
  <c r="J632" i="3" s="1"/>
  <c r="G592" i="3"/>
  <c r="G533" i="3"/>
  <c r="G676" i="3"/>
  <c r="I676" i="3" s="1"/>
  <c r="J676" i="3" s="1"/>
  <c r="G714" i="3"/>
  <c r="I714" i="3" s="1"/>
  <c r="J714" i="3" s="1"/>
  <c r="H737" i="3" l="1"/>
  <c r="J511" i="3"/>
  <c r="G587" i="3"/>
  <c r="G705" i="3"/>
  <c r="I705" i="3" s="1"/>
  <c r="J705" i="3" s="1"/>
  <c r="H629" i="3"/>
  <c r="G544" i="3"/>
  <c r="I544" i="3" s="1"/>
  <c r="G813" i="3"/>
  <c r="I813" i="3" s="1"/>
  <c r="J813" i="3" s="1"/>
  <c r="G718" i="3"/>
  <c r="I718" i="3" s="1"/>
  <c r="J718" i="3" s="1"/>
  <c r="H642" i="3"/>
  <c r="I540" i="3"/>
  <c r="H540" i="3"/>
  <c r="H504" i="3"/>
  <c r="H667" i="3"/>
  <c r="H551" i="3"/>
  <c r="G627" i="3"/>
  <c r="I627" i="3" s="1"/>
  <c r="J627" i="3" s="1"/>
  <c r="H630" i="3"/>
  <c r="G727" i="3"/>
  <c r="I727" i="3" s="1"/>
  <c r="J727" i="3" s="1"/>
  <c r="H671" i="3"/>
  <c r="H564" i="3"/>
  <c r="G747" i="3"/>
  <c r="I747" i="3" s="1"/>
  <c r="J747" i="3" s="1"/>
  <c r="G691" i="3"/>
  <c r="I691" i="3" s="1"/>
  <c r="J691" i="3" s="1"/>
  <c r="G711" i="3"/>
  <c r="I711" i="3" s="1"/>
  <c r="J711" i="3" s="1"/>
  <c r="H615" i="3"/>
  <c r="H505" i="3"/>
  <c r="H651" i="3"/>
  <c r="G581" i="3"/>
  <c r="I581" i="3" s="1"/>
  <c r="J581" i="3" s="1"/>
  <c r="G580" i="3"/>
  <c r="I580" i="3" s="1"/>
  <c r="J580" i="3" s="1"/>
  <c r="H541" i="3"/>
  <c r="G706" i="3"/>
  <c r="I706" i="3" s="1"/>
  <c r="J706" i="3" s="1"/>
  <c r="G698" i="3"/>
  <c r="I698" i="3" s="1"/>
  <c r="J698" i="3" s="1"/>
  <c r="G762" i="3"/>
  <c r="I762" i="3" s="1"/>
  <c r="J762" i="3" s="1"/>
  <c r="H538" i="3"/>
  <c r="H686" i="3"/>
  <c r="H622" i="3"/>
  <c r="G741" i="3"/>
  <c r="I741" i="3" s="1"/>
  <c r="J741" i="3" s="1"/>
  <c r="G731" i="3"/>
  <c r="I731" i="3" s="1"/>
  <c r="J731" i="3" s="1"/>
  <c r="H665" i="3"/>
  <c r="G636" i="3"/>
  <c r="I636" i="3" s="1"/>
  <c r="J636" i="3" s="1"/>
  <c r="H560" i="3"/>
  <c r="G640" i="3"/>
  <c r="I640" i="3" s="1"/>
  <c r="J640" i="3" s="1"/>
  <c r="G746" i="3"/>
  <c r="I746" i="3" s="1"/>
  <c r="J746" i="3" s="1"/>
  <c r="G730" i="3"/>
  <c r="I730" i="3" s="1"/>
  <c r="J730" i="3" s="1"/>
  <c r="H655" i="3"/>
  <c r="H670" i="3"/>
  <c r="G628" i="3"/>
  <c r="H628" i="3" s="1"/>
  <c r="H635" i="3"/>
  <c r="G598" i="3"/>
  <c r="I598" i="3" s="1"/>
  <c r="J598" i="3" s="1"/>
  <c r="H654" i="3"/>
  <c r="G617" i="3"/>
  <c r="I617" i="3" s="1"/>
  <c r="J617" i="3" s="1"/>
  <c r="H552" i="3"/>
  <c r="H528" i="3"/>
  <c r="G753" i="3"/>
  <c r="I753" i="3" s="1"/>
  <c r="J753" i="3" s="1"/>
  <c r="H522" i="3"/>
  <c r="H613" i="3"/>
  <c r="G557" i="3"/>
  <c r="I557" i="3" s="1"/>
  <c r="J557" i="3" s="1"/>
  <c r="H481" i="3"/>
  <c r="G637" i="3"/>
  <c r="I637" i="3" s="1"/>
  <c r="J637" i="3" s="1"/>
  <c r="H631" i="3"/>
  <c r="H597" i="3"/>
  <c r="G658" i="3"/>
  <c r="I658" i="3" s="1"/>
  <c r="J658" i="3" s="1"/>
  <c r="H677" i="3"/>
  <c r="H582" i="3"/>
  <c r="G650" i="3"/>
  <c r="I650" i="3" s="1"/>
  <c r="J650" i="3" s="1"/>
  <c r="J597" i="3"/>
  <c r="G673" i="3"/>
  <c r="I673" i="3" s="1"/>
  <c r="G648" i="3"/>
  <c r="I648" i="3" s="1"/>
  <c r="J648" i="3" s="1"/>
  <c r="J572" i="3"/>
  <c r="G508" i="3"/>
  <c r="I508" i="3" s="1"/>
  <c r="J508" i="3" s="1"/>
  <c r="H574" i="3"/>
  <c r="H599" i="3"/>
  <c r="H602" i="3"/>
  <c r="H676" i="3"/>
  <c r="H687" i="3"/>
  <c r="I662" i="3"/>
  <c r="H745" i="3"/>
  <c r="H666" i="3"/>
  <c r="H714" i="3"/>
  <c r="I592" i="3"/>
  <c r="J592" i="3" s="1"/>
  <c r="H592" i="3"/>
  <c r="G729" i="3"/>
  <c r="H729" i="3" s="1"/>
  <c r="H705" i="3"/>
  <c r="H653" i="3"/>
  <c r="G675" i="3"/>
  <c r="H675" i="3" s="1"/>
  <c r="H634" i="3"/>
  <c r="H664" i="3"/>
  <c r="I550" i="3"/>
  <c r="J550" i="3" s="1"/>
  <c r="H550" i="3"/>
  <c r="H563" i="3"/>
  <c r="H632" i="3"/>
  <c r="H568" i="3"/>
  <c r="G649" i="3"/>
  <c r="I649" i="3" s="1"/>
  <c r="J649" i="3" s="1"/>
  <c r="H624" i="3"/>
  <c r="I608" i="3"/>
  <c r="H608" i="3"/>
  <c r="H623" i="3"/>
  <c r="H621" i="3"/>
  <c r="I533" i="3"/>
  <c r="H533" i="3"/>
  <c r="I758" i="3"/>
  <c r="J758" i="3" s="1"/>
  <c r="H758" i="3"/>
  <c r="I681" i="3"/>
  <c r="J681" i="3" s="1"/>
  <c r="H681" i="3"/>
  <c r="G543" i="3"/>
  <c r="I543" i="3" s="1"/>
  <c r="H641" i="3"/>
  <c r="H643" i="3"/>
  <c r="H672" i="3"/>
  <c r="G569" i="3"/>
  <c r="I569" i="3" s="1"/>
  <c r="J569" i="3" s="1"/>
  <c r="H467" i="3"/>
  <c r="H646" i="3"/>
  <c r="H679" i="3"/>
  <c r="G740" i="3"/>
  <c r="I740" i="3" s="1"/>
  <c r="J740" i="3" s="1"/>
  <c r="G755" i="3"/>
  <c r="I755" i="3" s="1"/>
  <c r="J755" i="3" s="1"/>
  <c r="G719" i="3"/>
  <c r="I719" i="3" s="1"/>
  <c r="J719" i="3" s="1"/>
  <c r="G644" i="3"/>
  <c r="I644" i="3" s="1"/>
  <c r="J644" i="3" s="1"/>
  <c r="G639" i="3"/>
  <c r="I639" i="3" s="1"/>
  <c r="J639" i="3" s="1"/>
  <c r="G700" i="3"/>
  <c r="I700" i="3" s="1"/>
  <c r="J700" i="3" s="1"/>
  <c r="G678" i="3"/>
  <c r="I678" i="3" s="1"/>
  <c r="J678" i="3" s="1"/>
  <c r="G821" i="3"/>
  <c r="I821" i="3" s="1"/>
  <c r="J821" i="3" s="1"/>
  <c r="G763" i="3"/>
  <c r="I763" i="3" s="1"/>
  <c r="J763" i="3" s="1"/>
  <c r="G647" i="3"/>
  <c r="I647" i="3" s="1"/>
  <c r="J647" i="3" s="1"/>
  <c r="G743" i="3"/>
  <c r="G659" i="3"/>
  <c r="G652" i="3"/>
  <c r="I652" i="3" s="1"/>
  <c r="J652" i="3" s="1"/>
  <c r="G707" i="3"/>
  <c r="G604" i="3"/>
  <c r="G542" i="3"/>
  <c r="G717" i="3"/>
  <c r="I717" i="3" s="1"/>
  <c r="J717" i="3" s="1"/>
  <c r="G689" i="3"/>
  <c r="G889" i="3"/>
  <c r="I889" i="3" s="1"/>
  <c r="J889" i="3" s="1"/>
  <c r="G710" i="3"/>
  <c r="I710" i="3" s="1"/>
  <c r="J710" i="3" s="1"/>
  <c r="G699" i="3"/>
  <c r="I699" i="3" s="1"/>
  <c r="J699" i="3" s="1"/>
  <c r="G752" i="3"/>
  <c r="I752" i="3" s="1"/>
  <c r="J752" i="3" s="1"/>
  <c r="G614" i="3"/>
  <c r="H614" i="3" s="1"/>
  <c r="G625" i="3"/>
  <c r="G688" i="3"/>
  <c r="G790" i="3"/>
  <c r="I790" i="3" s="1"/>
  <c r="J790" i="3" s="1"/>
  <c r="G697" i="3"/>
  <c r="I697" i="3" s="1"/>
  <c r="J697" i="3" s="1"/>
  <c r="G835" i="3"/>
  <c r="G722" i="3"/>
  <c r="I722" i="3" s="1"/>
  <c r="J722" i="3" s="1"/>
  <c r="G708" i="3"/>
  <c r="I708" i="3" s="1"/>
  <c r="J708" i="3" s="1"/>
  <c r="G748" i="3"/>
  <c r="I748" i="3" s="1"/>
  <c r="J748" i="3" s="1"/>
  <c r="H711" i="3" l="1"/>
  <c r="H544" i="3"/>
  <c r="H813" i="3"/>
  <c r="H718" i="3"/>
  <c r="G794" i="3"/>
  <c r="I794" i="3" s="1"/>
  <c r="J794" i="3" s="1"/>
  <c r="I587" i="3"/>
  <c r="H587" i="3"/>
  <c r="H627" i="3"/>
  <c r="G703" i="3"/>
  <c r="I703" i="3" s="1"/>
  <c r="J703" i="3" s="1"/>
  <c r="J540" i="3"/>
  <c r="G616" i="3"/>
  <c r="I616" i="3" s="1"/>
  <c r="H580" i="3"/>
  <c r="G803" i="3"/>
  <c r="I803" i="3" s="1"/>
  <c r="J803" i="3" s="1"/>
  <c r="H727" i="3"/>
  <c r="H698" i="3"/>
  <c r="G823" i="3"/>
  <c r="I823" i="3" s="1"/>
  <c r="J823" i="3" s="1"/>
  <c r="H747" i="3"/>
  <c r="H691" i="3"/>
  <c r="H741" i="3"/>
  <c r="G656" i="3"/>
  <c r="I656" i="3" s="1"/>
  <c r="J656" i="3" s="1"/>
  <c r="G767" i="3"/>
  <c r="I767" i="3" s="1"/>
  <c r="J767" i="3" s="1"/>
  <c r="G807" i="3"/>
  <c r="I807" i="3" s="1"/>
  <c r="J807" i="3" s="1"/>
  <c r="H731" i="3"/>
  <c r="H706" i="3"/>
  <c r="H762" i="3"/>
  <c r="G806" i="3"/>
  <c r="I806" i="3" s="1"/>
  <c r="J806" i="3" s="1"/>
  <c r="H581" i="3"/>
  <c r="H746" i="3"/>
  <c r="G774" i="3"/>
  <c r="I774" i="3" s="1"/>
  <c r="J774" i="3" s="1"/>
  <c r="H636" i="3"/>
  <c r="G712" i="3"/>
  <c r="I712" i="3" s="1"/>
  <c r="G716" i="3"/>
  <c r="I716" i="3" s="1"/>
  <c r="J716" i="3" s="1"/>
  <c r="H640" i="3"/>
  <c r="H753" i="3"/>
  <c r="G822" i="3"/>
  <c r="I822" i="3" s="1"/>
  <c r="J822" i="3" s="1"/>
  <c r="H730" i="3"/>
  <c r="G724" i="3"/>
  <c r="I724" i="3" s="1"/>
  <c r="J724" i="3" s="1"/>
  <c r="H598" i="3"/>
  <c r="G633" i="3"/>
  <c r="I633" i="3" s="1"/>
  <c r="J633" i="3" s="1"/>
  <c r="H557" i="3"/>
  <c r="I628" i="3"/>
  <c r="G693" i="3"/>
  <c r="I693" i="3" s="1"/>
  <c r="J693" i="3" s="1"/>
  <c r="H617" i="3"/>
  <c r="H648" i="3"/>
  <c r="H508" i="3"/>
  <c r="H637" i="3"/>
  <c r="G734" i="3"/>
  <c r="I734" i="3" s="1"/>
  <c r="J734" i="3" s="1"/>
  <c r="H658" i="3"/>
  <c r="H673" i="3"/>
  <c r="H569" i="3"/>
  <c r="G723" i="3"/>
  <c r="H723" i="3" s="1"/>
  <c r="I675" i="3"/>
  <c r="J675" i="3" s="1"/>
  <c r="G619" i="3"/>
  <c r="I619" i="3" s="1"/>
  <c r="J619" i="3" s="1"/>
  <c r="J543" i="3"/>
  <c r="G834" i="3"/>
  <c r="I834" i="3" s="1"/>
  <c r="J834" i="3" s="1"/>
  <c r="J673" i="3"/>
  <c r="G749" i="3"/>
  <c r="I749" i="3" s="1"/>
  <c r="G738" i="3"/>
  <c r="I738" i="3" s="1"/>
  <c r="J738" i="3" s="1"/>
  <c r="J662" i="3"/>
  <c r="J544" i="3"/>
  <c r="G620" i="3"/>
  <c r="I620" i="3" s="1"/>
  <c r="I729" i="3"/>
  <c r="J729" i="3" s="1"/>
  <c r="H650" i="3"/>
  <c r="G657" i="3"/>
  <c r="I657" i="3" s="1"/>
  <c r="J657" i="3" s="1"/>
  <c r="G725" i="3"/>
  <c r="I725" i="3" s="1"/>
  <c r="J725" i="3" s="1"/>
  <c r="G726" i="3"/>
  <c r="I726" i="3" s="1"/>
  <c r="J726" i="3" s="1"/>
  <c r="G609" i="3"/>
  <c r="I609" i="3" s="1"/>
  <c r="J609" i="3" s="1"/>
  <c r="J533" i="3"/>
  <c r="G684" i="3"/>
  <c r="I684" i="3" s="1"/>
  <c r="J684" i="3" s="1"/>
  <c r="J608" i="3"/>
  <c r="H763" i="3"/>
  <c r="H678" i="3"/>
  <c r="H639" i="3"/>
  <c r="I604" i="3"/>
  <c r="H604" i="3"/>
  <c r="H717" i="3"/>
  <c r="H821" i="3"/>
  <c r="H722" i="3"/>
  <c r="H752" i="3"/>
  <c r="H699" i="3"/>
  <c r="H700" i="3"/>
  <c r="H644" i="3"/>
  <c r="H543" i="3"/>
  <c r="H710" i="3"/>
  <c r="I688" i="3"/>
  <c r="J688" i="3" s="1"/>
  <c r="H688" i="3"/>
  <c r="I542" i="3"/>
  <c r="H542" i="3"/>
  <c r="I743" i="3"/>
  <c r="J743" i="3" s="1"/>
  <c r="H743" i="3"/>
  <c r="H755" i="3"/>
  <c r="H697" i="3"/>
  <c r="I625" i="3"/>
  <c r="J625" i="3" s="1"/>
  <c r="H625" i="3"/>
  <c r="I689" i="3"/>
  <c r="J689" i="3" s="1"/>
  <c r="H689" i="3"/>
  <c r="G645" i="3"/>
  <c r="I645" i="3" s="1"/>
  <c r="J645" i="3" s="1"/>
  <c r="H647" i="3"/>
  <c r="H790" i="3"/>
  <c r="H649" i="3"/>
  <c r="H719" i="3"/>
  <c r="I835" i="3"/>
  <c r="H835" i="3"/>
  <c r="I707" i="3"/>
  <c r="J707" i="3" s="1"/>
  <c r="H707" i="3"/>
  <c r="I659" i="3"/>
  <c r="J659" i="3" s="1"/>
  <c r="H659" i="3"/>
  <c r="H889" i="3"/>
  <c r="H652" i="3"/>
  <c r="H748" i="3"/>
  <c r="H794" i="3"/>
  <c r="H740" i="3"/>
  <c r="H708" i="3"/>
  <c r="I614" i="3"/>
  <c r="G816" i="3"/>
  <c r="I816" i="3" s="1"/>
  <c r="J816" i="3" s="1"/>
  <c r="G720" i="3"/>
  <c r="I720" i="3" s="1"/>
  <c r="J720" i="3" s="1"/>
  <c r="G795" i="3"/>
  <c r="I795" i="3" s="1"/>
  <c r="J795" i="3" s="1"/>
  <c r="G776" i="3"/>
  <c r="I776" i="3" s="1"/>
  <c r="J776" i="3" s="1"/>
  <c r="G839" i="3"/>
  <c r="I839" i="3" s="1"/>
  <c r="J839" i="3" s="1"/>
  <c r="G897" i="3"/>
  <c r="I897" i="3" s="1"/>
  <c r="J897" i="3" s="1"/>
  <c r="G728" i="3"/>
  <c r="I728" i="3" s="1"/>
  <c r="J728" i="3" s="1"/>
  <c r="G674" i="3"/>
  <c r="G584" i="3"/>
  <c r="G626" i="3"/>
  <c r="I626" i="3" s="1"/>
  <c r="J626" i="3" s="1"/>
  <c r="G773" i="3"/>
  <c r="I773" i="3" s="1"/>
  <c r="J773" i="3" s="1"/>
  <c r="G713" i="3"/>
  <c r="G757" i="3"/>
  <c r="I757" i="3" s="1"/>
  <c r="J757" i="3" s="1"/>
  <c r="G782" i="3"/>
  <c r="G787" i="3"/>
  <c r="G829" i="3"/>
  <c r="G781" i="3"/>
  <c r="G715" i="3"/>
  <c r="I715" i="3" s="1"/>
  <c r="J715" i="3" s="1"/>
  <c r="G786" i="3"/>
  <c r="I786" i="3" s="1"/>
  <c r="J786" i="3" s="1"/>
  <c r="G870" i="3"/>
  <c r="I870" i="3" s="1"/>
  <c r="J870" i="3" s="1"/>
  <c r="G793" i="3"/>
  <c r="I793" i="3" s="1"/>
  <c r="J793" i="3" s="1"/>
  <c r="G866" i="3"/>
  <c r="I866" i="3" s="1"/>
  <c r="J866" i="3" s="1"/>
  <c r="G817" i="3"/>
  <c r="G775" i="3"/>
  <c r="I775" i="3" s="1"/>
  <c r="J775" i="3" s="1"/>
  <c r="G838" i="3"/>
  <c r="G831" i="3"/>
  <c r="I831" i="3" s="1"/>
  <c r="J831" i="3" s="1"/>
  <c r="G742" i="3"/>
  <c r="G798" i="3"/>
  <c r="I798" i="3" s="1"/>
  <c r="J798" i="3" s="1"/>
  <c r="G668" i="3"/>
  <c r="I668" i="3" s="1"/>
  <c r="J668" i="3" s="1"/>
  <c r="G828" i="3"/>
  <c r="I828" i="3" s="1"/>
  <c r="J828" i="3" s="1"/>
  <c r="G824" i="3"/>
  <c r="I824" i="3" s="1"/>
  <c r="J824" i="3" s="1"/>
  <c r="H703" i="3" l="1"/>
  <c r="J587" i="3"/>
  <c r="G663" i="3"/>
  <c r="I663" i="3" s="1"/>
  <c r="G779" i="3"/>
  <c r="H779" i="3" s="1"/>
  <c r="G899" i="3"/>
  <c r="I899" i="3" s="1"/>
  <c r="J899" i="3" s="1"/>
  <c r="H823" i="3"/>
  <c r="H616" i="3"/>
  <c r="H803" i="3"/>
  <c r="G879" i="3"/>
  <c r="I879" i="3" s="1"/>
  <c r="J879" i="3" s="1"/>
  <c r="G732" i="3"/>
  <c r="I732" i="3" s="1"/>
  <c r="J732" i="3" s="1"/>
  <c r="J616" i="3"/>
  <c r="G692" i="3"/>
  <c r="I692" i="3" s="1"/>
  <c r="H767" i="3"/>
  <c r="H656" i="3"/>
  <c r="G843" i="3"/>
  <c r="I843" i="3" s="1"/>
  <c r="J843" i="3" s="1"/>
  <c r="H807" i="3"/>
  <c r="H806" i="3"/>
  <c r="H774" i="3"/>
  <c r="H716" i="3"/>
  <c r="G898" i="3"/>
  <c r="I898" i="3" s="1"/>
  <c r="J898" i="3" s="1"/>
  <c r="H822" i="3"/>
  <c r="H712" i="3"/>
  <c r="J712" i="3"/>
  <c r="G788" i="3"/>
  <c r="H633" i="3"/>
  <c r="G709" i="3"/>
  <c r="I709" i="3" s="1"/>
  <c r="J709" i="3" s="1"/>
  <c r="H693" i="3"/>
  <c r="H724" i="3"/>
  <c r="G704" i="3"/>
  <c r="I704" i="3" s="1"/>
  <c r="J628" i="3"/>
  <c r="I723" i="3"/>
  <c r="J723" i="3" s="1"/>
  <c r="G810" i="3"/>
  <c r="I810" i="3" s="1"/>
  <c r="J810" i="3" s="1"/>
  <c r="G783" i="3"/>
  <c r="I783" i="3" s="1"/>
  <c r="J783" i="3" s="1"/>
  <c r="H657" i="3"/>
  <c r="G695" i="3"/>
  <c r="I695" i="3" s="1"/>
  <c r="J695" i="3" s="1"/>
  <c r="H619" i="3"/>
  <c r="H734" i="3"/>
  <c r="H725" i="3"/>
  <c r="G685" i="3"/>
  <c r="I685" i="3" s="1"/>
  <c r="J685" i="3" s="1"/>
  <c r="G751" i="3"/>
  <c r="I751" i="3" s="1"/>
  <c r="J751" i="3" s="1"/>
  <c r="H749" i="3"/>
  <c r="H609" i="3"/>
  <c r="H834" i="3"/>
  <c r="G819" i="3"/>
  <c r="I819" i="3" s="1"/>
  <c r="J819" i="3" s="1"/>
  <c r="G814" i="3"/>
  <c r="I814" i="3" s="1"/>
  <c r="J814" i="3" s="1"/>
  <c r="H620" i="3"/>
  <c r="I779" i="3"/>
  <c r="G690" i="3"/>
  <c r="I690" i="3" s="1"/>
  <c r="J690" i="3" s="1"/>
  <c r="J614" i="3"/>
  <c r="G805" i="3"/>
  <c r="G910" i="3"/>
  <c r="I910" i="3" s="1"/>
  <c r="J910" i="3" s="1"/>
  <c r="G802" i="3"/>
  <c r="I802" i="3" s="1"/>
  <c r="J802" i="3" s="1"/>
  <c r="G801" i="3"/>
  <c r="I801" i="3" s="1"/>
  <c r="J801" i="3" s="1"/>
  <c r="G618" i="3"/>
  <c r="I618" i="3" s="1"/>
  <c r="J618" i="3" s="1"/>
  <c r="J542" i="3"/>
  <c r="J620" i="3"/>
  <c r="G696" i="3"/>
  <c r="I696" i="3" s="1"/>
  <c r="G701" i="3"/>
  <c r="I701" i="3" s="1"/>
  <c r="J701" i="3" s="1"/>
  <c r="G760" i="3"/>
  <c r="I760" i="3" s="1"/>
  <c r="J760" i="3" s="1"/>
  <c r="H684" i="3"/>
  <c r="H738" i="3"/>
  <c r="G911" i="3"/>
  <c r="I911" i="3" s="1"/>
  <c r="J911" i="3" s="1"/>
  <c r="J835" i="3"/>
  <c r="H726" i="3"/>
  <c r="G680" i="3"/>
  <c r="I680" i="3" s="1"/>
  <c r="J680" i="3" s="1"/>
  <c r="J604" i="3"/>
  <c r="J749" i="3"/>
  <c r="G825" i="3"/>
  <c r="I825" i="3" s="1"/>
  <c r="H798" i="3"/>
  <c r="H728" i="3"/>
  <c r="H897" i="3"/>
  <c r="H645" i="3"/>
  <c r="H668" i="3"/>
  <c r="H870" i="3"/>
  <c r="I781" i="3"/>
  <c r="J781" i="3" s="1"/>
  <c r="H781" i="3"/>
  <c r="G765" i="3"/>
  <c r="I765" i="3" s="1"/>
  <c r="J765" i="3" s="1"/>
  <c r="H757" i="3"/>
  <c r="H795" i="3"/>
  <c r="I742" i="3"/>
  <c r="H742" i="3"/>
  <c r="I713" i="3"/>
  <c r="H713" i="3"/>
  <c r="I674" i="3"/>
  <c r="J674" i="3" s="1"/>
  <c r="H674" i="3"/>
  <c r="I829" i="3"/>
  <c r="J829" i="3" s="1"/>
  <c r="H829" i="3"/>
  <c r="H824" i="3"/>
  <c r="H773" i="3"/>
  <c r="G721" i="3"/>
  <c r="I721" i="3" s="1"/>
  <c r="H786" i="3"/>
  <c r="H866" i="3"/>
  <c r="H816" i="3"/>
  <c r="H626" i="3"/>
  <c r="H720" i="3"/>
  <c r="I787" i="3"/>
  <c r="J787" i="3" s="1"/>
  <c r="H787" i="3"/>
  <c r="H775" i="3"/>
  <c r="H839" i="3"/>
  <c r="I817" i="3"/>
  <c r="J817" i="3" s="1"/>
  <c r="H817" i="3"/>
  <c r="I782" i="3"/>
  <c r="J782" i="3" s="1"/>
  <c r="H782" i="3"/>
  <c r="I838" i="3"/>
  <c r="J838" i="3" s="1"/>
  <c r="H838" i="3"/>
  <c r="I584" i="3"/>
  <c r="H584" i="3"/>
  <c r="H793" i="3"/>
  <c r="H831" i="3"/>
  <c r="H715" i="3"/>
  <c r="H828" i="3"/>
  <c r="H776" i="3"/>
  <c r="G892" i="3"/>
  <c r="H892" i="3" s="1"/>
  <c r="G871" i="3"/>
  <c r="I871" i="3" s="1"/>
  <c r="J871" i="3" s="1"/>
  <c r="G852" i="3"/>
  <c r="I852" i="3" s="1"/>
  <c r="J852" i="3" s="1"/>
  <c r="G702" i="3"/>
  <c r="I702" i="3" s="1"/>
  <c r="J702" i="3" s="1"/>
  <c r="G833" i="3"/>
  <c r="I833" i="3" s="1"/>
  <c r="J833" i="3" s="1"/>
  <c r="G804" i="3"/>
  <c r="I804" i="3" s="1"/>
  <c r="J804" i="3" s="1"/>
  <c r="G915" i="3"/>
  <c r="I915" i="3" s="1"/>
  <c r="J915" i="3" s="1"/>
  <c r="G735" i="3"/>
  <c r="I735" i="3" s="1"/>
  <c r="J735" i="3" s="1"/>
  <c r="G754" i="3"/>
  <c r="G792" i="3"/>
  <c r="G791" i="3"/>
  <c r="I791" i="3" s="1"/>
  <c r="J791" i="3" s="1"/>
  <c r="G849" i="3"/>
  <c r="I849" i="3" s="1"/>
  <c r="J849" i="3" s="1"/>
  <c r="G883" i="3"/>
  <c r="G851" i="3"/>
  <c r="I851" i="3" s="1"/>
  <c r="J851" i="3" s="1"/>
  <c r="G733" i="3"/>
  <c r="G907" i="3"/>
  <c r="I907" i="3" s="1"/>
  <c r="J907" i="3" s="1"/>
  <c r="G800" i="3"/>
  <c r="G874" i="3"/>
  <c r="I874" i="3" s="1"/>
  <c r="J874" i="3" s="1"/>
  <c r="G882" i="3"/>
  <c r="G764" i="3"/>
  <c r="I764" i="3" s="1"/>
  <c r="J764" i="3" s="1"/>
  <c r="G850" i="3"/>
  <c r="G784" i="3"/>
  <c r="G744" i="3"/>
  <c r="I744" i="3" s="1"/>
  <c r="J744" i="3" s="1"/>
  <c r="G796" i="3"/>
  <c r="I796" i="3" s="1"/>
  <c r="J796" i="3" s="1"/>
  <c r="G769" i="3"/>
  <c r="H899" i="3" l="1"/>
  <c r="H663" i="3"/>
  <c r="J663" i="3"/>
  <c r="G739" i="3"/>
  <c r="I739" i="3" s="1"/>
  <c r="H739" i="3"/>
  <c r="H879" i="3"/>
  <c r="G808" i="3"/>
  <c r="I808" i="3" s="1"/>
  <c r="J808" i="3" s="1"/>
  <c r="H732" i="3"/>
  <c r="H692" i="3"/>
  <c r="J692" i="3"/>
  <c r="G768" i="3"/>
  <c r="I768" i="3" s="1"/>
  <c r="H843" i="3"/>
  <c r="G890" i="3"/>
  <c r="I890" i="3" s="1"/>
  <c r="J890" i="3" s="1"/>
  <c r="G895" i="3"/>
  <c r="I895" i="3" s="1"/>
  <c r="J895" i="3" s="1"/>
  <c r="H814" i="3"/>
  <c r="H898" i="3"/>
  <c r="G785" i="3"/>
  <c r="I785" i="3" s="1"/>
  <c r="J785" i="3" s="1"/>
  <c r="I788" i="3"/>
  <c r="H788" i="3"/>
  <c r="H709" i="3"/>
  <c r="H910" i="3"/>
  <c r="G859" i="3"/>
  <c r="I859" i="3" s="1"/>
  <c r="J859" i="3" s="1"/>
  <c r="G878" i="3"/>
  <c r="I878" i="3" s="1"/>
  <c r="J878" i="3" s="1"/>
  <c r="H751" i="3"/>
  <c r="G886" i="3"/>
  <c r="I886" i="3" s="1"/>
  <c r="J886" i="3" s="1"/>
  <c r="H810" i="3"/>
  <c r="H704" i="3"/>
  <c r="G799" i="3"/>
  <c r="H799" i="3" s="1"/>
  <c r="J704" i="3"/>
  <c r="G780" i="3"/>
  <c r="H819" i="3"/>
  <c r="G827" i="3"/>
  <c r="I827" i="3" s="1"/>
  <c r="J827" i="3" s="1"/>
  <c r="H783" i="3"/>
  <c r="G761" i="3"/>
  <c r="I761" i="3" s="1"/>
  <c r="J761" i="3" s="1"/>
  <c r="G771" i="3"/>
  <c r="H695" i="3"/>
  <c r="G905" i="3"/>
  <c r="I905" i="3" s="1"/>
  <c r="J905" i="3" s="1"/>
  <c r="G836" i="3"/>
  <c r="I836" i="3" s="1"/>
  <c r="J836" i="3" s="1"/>
  <c r="H685" i="3"/>
  <c r="G777" i="3"/>
  <c r="I777" i="3" s="1"/>
  <c r="J777" i="3" s="1"/>
  <c r="H911" i="3"/>
  <c r="H701" i="3"/>
  <c r="H721" i="3"/>
  <c r="H760" i="3"/>
  <c r="H802" i="3"/>
  <c r="H690" i="3"/>
  <c r="H825" i="3"/>
  <c r="H696" i="3"/>
  <c r="I805" i="3"/>
  <c r="H805" i="3"/>
  <c r="H680" i="3"/>
  <c r="G818" i="3"/>
  <c r="I818" i="3" s="1"/>
  <c r="J818" i="3" s="1"/>
  <c r="J742" i="3"/>
  <c r="J825" i="3"/>
  <c r="G901" i="3"/>
  <c r="J696" i="3"/>
  <c r="G772" i="3"/>
  <c r="I772" i="3" s="1"/>
  <c r="G694" i="3"/>
  <c r="I694" i="3" s="1"/>
  <c r="J694" i="3" s="1"/>
  <c r="G863" i="3"/>
  <c r="I863" i="3" s="1"/>
  <c r="J863" i="3" s="1"/>
  <c r="G877" i="3"/>
  <c r="I877" i="3" s="1"/>
  <c r="J877" i="3" s="1"/>
  <c r="H801" i="3"/>
  <c r="G797" i="3"/>
  <c r="I797" i="3" s="1"/>
  <c r="J797" i="3" s="1"/>
  <c r="J721" i="3"/>
  <c r="G841" i="3"/>
  <c r="I841" i="3" s="1"/>
  <c r="J841" i="3" s="1"/>
  <c r="H618" i="3"/>
  <c r="G660" i="3"/>
  <c r="I660" i="3" s="1"/>
  <c r="J660" i="3" s="1"/>
  <c r="J584" i="3"/>
  <c r="G789" i="3"/>
  <c r="I789" i="3" s="1"/>
  <c r="J789" i="3" s="1"/>
  <c r="J713" i="3"/>
  <c r="G855" i="3"/>
  <c r="J779" i="3"/>
  <c r="I892" i="3"/>
  <c r="J892" i="3" s="1"/>
  <c r="H851" i="3"/>
  <c r="I754" i="3"/>
  <c r="J754" i="3" s="1"/>
  <c r="H754" i="3"/>
  <c r="H915" i="3"/>
  <c r="H702" i="3"/>
  <c r="H907" i="3"/>
  <c r="H874" i="3"/>
  <c r="H744" i="3"/>
  <c r="H735" i="3"/>
  <c r="I733" i="3"/>
  <c r="H733" i="3"/>
  <c r="I792" i="3"/>
  <c r="J792" i="3" s="1"/>
  <c r="H792" i="3"/>
  <c r="G858" i="3"/>
  <c r="I858" i="3" s="1"/>
  <c r="J858" i="3" s="1"/>
  <c r="I784" i="3"/>
  <c r="J784" i="3" s="1"/>
  <c r="H784" i="3"/>
  <c r="I882" i="3"/>
  <c r="J882" i="3" s="1"/>
  <c r="H882" i="3"/>
  <c r="I800" i="3"/>
  <c r="J800" i="3" s="1"/>
  <c r="H800" i="3"/>
  <c r="H871" i="3"/>
  <c r="H849" i="3"/>
  <c r="H796" i="3"/>
  <c r="H765" i="3"/>
  <c r="I883" i="3"/>
  <c r="J883" i="3" s="1"/>
  <c r="H883" i="3"/>
  <c r="I769" i="3"/>
  <c r="H769" i="3"/>
  <c r="I850" i="3"/>
  <c r="J850" i="3" s="1"/>
  <c r="H850" i="3"/>
  <c r="G750" i="3"/>
  <c r="I750" i="3" s="1"/>
  <c r="H852" i="3"/>
  <c r="H833" i="3"/>
  <c r="H764" i="3"/>
  <c r="H791" i="3"/>
  <c r="H804" i="3"/>
  <c r="G880" i="3"/>
  <c r="I880" i="3" s="1"/>
  <c r="J880" i="3" s="1"/>
  <c r="G909" i="3"/>
  <c r="I909" i="3" s="1"/>
  <c r="J909" i="3" s="1"/>
  <c r="G811" i="3"/>
  <c r="I811" i="3" s="1"/>
  <c r="J811" i="3" s="1"/>
  <c r="G869" i="3"/>
  <c r="G766" i="3"/>
  <c r="H766" i="3" s="1"/>
  <c r="G857" i="3"/>
  <c r="I857" i="3" s="1"/>
  <c r="J857" i="3" s="1"/>
  <c r="G778" i="3"/>
  <c r="I778" i="3" s="1"/>
  <c r="J778" i="3" s="1"/>
  <c r="G756" i="3"/>
  <c r="G862" i="3"/>
  <c r="G867" i="3"/>
  <c r="I867" i="3" s="1"/>
  <c r="J867" i="3" s="1"/>
  <c r="G914" i="3"/>
  <c r="I914" i="3" s="1"/>
  <c r="J914" i="3" s="1"/>
  <c r="G893" i="3"/>
  <c r="I893" i="3" s="1"/>
  <c r="J893" i="3" s="1"/>
  <c r="G872" i="3"/>
  <c r="I872" i="3" s="1"/>
  <c r="J872" i="3" s="1"/>
  <c r="G840" i="3"/>
  <c r="I840" i="3" s="1"/>
  <c r="J840" i="3" s="1"/>
  <c r="G904" i="3"/>
  <c r="G900" i="3"/>
  <c r="G820" i="3"/>
  <c r="I820" i="3" s="1"/>
  <c r="J820" i="3" s="1"/>
  <c r="J739" i="3" l="1"/>
  <c r="G815" i="3"/>
  <c r="I815" i="3" s="1"/>
  <c r="H815" i="3"/>
  <c r="H808" i="3"/>
  <c r="H890" i="3"/>
  <c r="H768" i="3"/>
  <c r="J768" i="3"/>
  <c r="G844" i="3"/>
  <c r="I844" i="3" s="1"/>
  <c r="J844" i="3" s="1"/>
  <c r="H895" i="3"/>
  <c r="H785" i="3"/>
  <c r="H878" i="3"/>
  <c r="H827" i="3"/>
  <c r="G903" i="3"/>
  <c r="I903" i="3" s="1"/>
  <c r="J903" i="3" s="1"/>
  <c r="H836" i="3"/>
  <c r="H859" i="3"/>
  <c r="J788" i="3"/>
  <c r="G864" i="3"/>
  <c r="I864" i="3" s="1"/>
  <c r="J864" i="3" s="1"/>
  <c r="I799" i="3"/>
  <c r="J799" i="3" s="1"/>
  <c r="H905" i="3"/>
  <c r="G917" i="3"/>
  <c r="H877" i="3"/>
  <c r="H841" i="3"/>
  <c r="H886" i="3"/>
  <c r="H772" i="3"/>
  <c r="I780" i="3"/>
  <c r="H780" i="3"/>
  <c r="H789" i="3"/>
  <c r="H777" i="3"/>
  <c r="H797" i="3"/>
  <c r="G912" i="3"/>
  <c r="I912" i="3" s="1"/>
  <c r="J912" i="3" s="1"/>
  <c r="H771" i="3"/>
  <c r="I771" i="3"/>
  <c r="G837" i="3"/>
  <c r="I837" i="3" s="1"/>
  <c r="J837" i="3" s="1"/>
  <c r="H761" i="3"/>
  <c r="G865" i="3"/>
  <c r="I865" i="3" s="1"/>
  <c r="J865" i="3" s="1"/>
  <c r="G853" i="3"/>
  <c r="I853" i="3" s="1"/>
  <c r="J853" i="3" s="1"/>
  <c r="G860" i="3"/>
  <c r="I860" i="3" s="1"/>
  <c r="J860" i="3" s="1"/>
  <c r="G736" i="3"/>
  <c r="I736" i="3" s="1"/>
  <c r="J736" i="3" s="1"/>
  <c r="G770" i="3"/>
  <c r="I770" i="3" s="1"/>
  <c r="J770" i="3" s="1"/>
  <c r="G826" i="3"/>
  <c r="I826" i="3" s="1"/>
  <c r="J826" i="3" s="1"/>
  <c r="J750" i="3"/>
  <c r="H863" i="3"/>
  <c r="H901" i="3"/>
  <c r="I901" i="3"/>
  <c r="J901" i="3" s="1"/>
  <c r="G873" i="3"/>
  <c r="I873" i="3" s="1"/>
  <c r="J873" i="3" s="1"/>
  <c r="H694" i="3"/>
  <c r="G809" i="3"/>
  <c r="I809" i="3" s="1"/>
  <c r="J809" i="3" s="1"/>
  <c r="J733" i="3"/>
  <c r="G845" i="3"/>
  <c r="I845" i="3" s="1"/>
  <c r="J845" i="3" s="1"/>
  <c r="J769" i="3"/>
  <c r="H855" i="3"/>
  <c r="I855" i="3"/>
  <c r="J855" i="3" s="1"/>
  <c r="G894" i="3"/>
  <c r="I894" i="3" s="1"/>
  <c r="J894" i="3" s="1"/>
  <c r="H660" i="3"/>
  <c r="H818" i="3"/>
  <c r="J772" i="3"/>
  <c r="G848" i="3"/>
  <c r="I848" i="3" s="1"/>
  <c r="J848" i="3" s="1"/>
  <c r="J805" i="3"/>
  <c r="G881" i="3"/>
  <c r="H872" i="3"/>
  <c r="H820" i="3"/>
  <c r="H811" i="3"/>
  <c r="I900" i="3"/>
  <c r="J900" i="3" s="1"/>
  <c r="H900" i="3"/>
  <c r="G830" i="3"/>
  <c r="I830" i="3" s="1"/>
  <c r="J830" i="3" s="1"/>
  <c r="H893" i="3"/>
  <c r="H914" i="3"/>
  <c r="H857" i="3"/>
  <c r="H909" i="3"/>
  <c r="H840" i="3"/>
  <c r="H858" i="3"/>
  <c r="I756" i="3"/>
  <c r="J756" i="3" s="1"/>
  <c r="H756" i="3"/>
  <c r="I869" i="3"/>
  <c r="J869" i="3" s="1"/>
  <c r="H869" i="3"/>
  <c r="H750" i="3"/>
  <c r="G868" i="3"/>
  <c r="I868" i="3" s="1"/>
  <c r="J868" i="3" s="1"/>
  <c r="I904" i="3"/>
  <c r="J904" i="3" s="1"/>
  <c r="H904" i="3"/>
  <c r="I862" i="3"/>
  <c r="J862" i="3" s="1"/>
  <c r="H862" i="3"/>
  <c r="H867" i="3"/>
  <c r="H880" i="3"/>
  <c r="H778" i="3"/>
  <c r="I766" i="3"/>
  <c r="G887" i="3"/>
  <c r="I887" i="3" s="1"/>
  <c r="J887" i="3" s="1"/>
  <c r="G876" i="3"/>
  <c r="I876" i="3" s="1"/>
  <c r="J876" i="3" s="1"/>
  <c r="G854" i="3"/>
  <c r="I854" i="3" s="1"/>
  <c r="J854" i="3" s="1"/>
  <c r="G884" i="3"/>
  <c r="G896" i="3"/>
  <c r="I896" i="3" s="1"/>
  <c r="J896" i="3" s="1"/>
  <c r="G916" i="3"/>
  <c r="I916" i="3" s="1"/>
  <c r="J916" i="3" s="1"/>
  <c r="G861" i="3"/>
  <c r="J815" i="3" l="1"/>
  <c r="G891" i="3"/>
  <c r="I891" i="3" s="1"/>
  <c r="J891" i="3" s="1"/>
  <c r="H903" i="3"/>
  <c r="H736" i="3"/>
  <c r="H844" i="3"/>
  <c r="J766" i="3"/>
  <c r="G842" i="3"/>
  <c r="I842" i="3" s="1"/>
  <c r="I917" i="3"/>
  <c r="J917" i="3" s="1"/>
  <c r="H912" i="3"/>
  <c r="H865" i="3"/>
  <c r="H864" i="3"/>
  <c r="G875" i="3"/>
  <c r="I875" i="3" s="1"/>
  <c r="J875" i="3" s="1"/>
  <c r="H917" i="3"/>
  <c r="H873" i="3"/>
  <c r="G846" i="3"/>
  <c r="I846" i="3" s="1"/>
  <c r="J846" i="3" s="1"/>
  <c r="H770" i="3"/>
  <c r="J780" i="3"/>
  <c r="G856" i="3"/>
  <c r="I856" i="3" s="1"/>
  <c r="J856" i="3" s="1"/>
  <c r="H845" i="3"/>
  <c r="J771" i="3"/>
  <c r="G847" i="3"/>
  <c r="G913" i="3"/>
  <c r="I913" i="3" s="1"/>
  <c r="J913" i="3" s="1"/>
  <c r="H837" i="3"/>
  <c r="G832" i="3"/>
  <c r="I832" i="3" s="1"/>
  <c r="J832" i="3" s="1"/>
  <c r="G906" i="3"/>
  <c r="I906" i="3" s="1"/>
  <c r="J906" i="3" s="1"/>
  <c r="G812" i="3"/>
  <c r="I812" i="3" s="1"/>
  <c r="J812" i="3" s="1"/>
  <c r="H860" i="3"/>
  <c r="H853" i="3"/>
  <c r="H826" i="3"/>
  <c r="G902" i="3"/>
  <c r="I902" i="3" s="1"/>
  <c r="J902" i="3" s="1"/>
  <c r="H894" i="3"/>
  <c r="H848" i="3"/>
  <c r="H809" i="3"/>
  <c r="H881" i="3"/>
  <c r="I881" i="3"/>
  <c r="J881" i="3" s="1"/>
  <c r="H896" i="3"/>
  <c r="I861" i="3"/>
  <c r="J861" i="3" s="1"/>
  <c r="H861" i="3"/>
  <c r="I884" i="3"/>
  <c r="J884" i="3" s="1"/>
  <c r="H884" i="3"/>
  <c r="H830" i="3"/>
  <c r="H887" i="3"/>
  <c r="H916" i="3"/>
  <c r="H876" i="3"/>
  <c r="H868" i="3"/>
  <c r="H854" i="3"/>
  <c r="G885" i="3"/>
  <c r="H891" i="3" l="1"/>
  <c r="H875" i="3"/>
  <c r="J842" i="3"/>
  <c r="J918" i="3"/>
  <c r="H846" i="3"/>
  <c r="H913" i="3"/>
  <c r="H856" i="3"/>
  <c r="H906" i="3"/>
  <c r="H902" i="3"/>
  <c r="I847" i="3"/>
  <c r="J847" i="3" s="1"/>
  <c r="H847" i="3"/>
  <c r="G908" i="3"/>
  <c r="I908" i="3" s="1"/>
  <c r="J908" i="3" s="1"/>
  <c r="H832" i="3"/>
  <c r="H812" i="3"/>
  <c r="G888" i="3"/>
  <c r="L8" i="2" s="1"/>
  <c r="I885" i="3"/>
  <c r="J885" i="3" s="1"/>
  <c r="H885" i="3"/>
  <c r="H842" i="3"/>
  <c r="L19" i="2"/>
  <c r="L38" i="2"/>
  <c r="L66" i="2" l="1"/>
  <c r="L83" i="2"/>
  <c r="L76" i="2"/>
  <c r="L89" i="2" a="1"/>
  <c r="L89" i="2" s="1"/>
  <c r="L85" i="2" a="1"/>
  <c r="L85" i="2" s="1"/>
  <c r="L86" i="2" a="1"/>
  <c r="L86" i="2" s="1"/>
  <c r="L87" i="2" a="1"/>
  <c r="L87" i="2" s="1"/>
  <c r="L88" i="2" a="1"/>
  <c r="L88" i="2" s="1"/>
  <c r="L58" i="2"/>
  <c r="H908" i="3"/>
  <c r="L39" i="2"/>
  <c r="L63" i="2"/>
  <c r="L24" i="2"/>
  <c r="L68" i="2"/>
  <c r="L35" i="2"/>
  <c r="L37" i="2"/>
  <c r="L15" i="2"/>
  <c r="L47" i="2"/>
  <c r="L71" i="2"/>
  <c r="L61" i="2"/>
  <c r="L54" i="2"/>
  <c r="L20" i="2"/>
  <c r="L41" i="2"/>
  <c r="L49" i="2"/>
  <c r="L18" i="2"/>
  <c r="L11" i="2"/>
  <c r="L74" i="2"/>
  <c r="L5" i="2"/>
  <c r="L7" i="2"/>
  <c r="L57" i="2"/>
  <c r="L21" i="2"/>
  <c r="L23" i="2"/>
  <c r="L40" i="2"/>
  <c r="L65" i="2"/>
  <c r="L50" i="2"/>
  <c r="L10" i="2"/>
  <c r="L79" i="2"/>
  <c r="L22" i="2"/>
  <c r="L72" i="2"/>
  <c r="L43" i="2"/>
  <c r="L70" i="2"/>
  <c r="L46" i="2"/>
  <c r="L32" i="2"/>
  <c r="L44" i="2"/>
  <c r="L33" i="2"/>
  <c r="L30" i="2"/>
  <c r="L56" i="2"/>
  <c r="L67" i="2"/>
  <c r="L42" i="2"/>
  <c r="L26" i="2"/>
  <c r="L36" i="2"/>
  <c r="L60" i="2"/>
  <c r="L25" i="2"/>
  <c r="L9" i="2"/>
  <c r="L12" i="2"/>
  <c r="L34" i="2"/>
  <c r="L81" i="2"/>
  <c r="L45" i="2"/>
  <c r="L77" i="2"/>
  <c r="L27" i="2"/>
  <c r="L14" i="2"/>
  <c r="H888" i="3"/>
  <c r="L16" i="2"/>
  <c r="L6" i="2"/>
  <c r="L29" i="2"/>
  <c r="L17" i="2"/>
  <c r="L75" i="2"/>
  <c r="L64" i="2"/>
  <c r="L48" i="2"/>
  <c r="L59" i="2"/>
  <c r="L31" i="2"/>
  <c r="L73" i="2"/>
  <c r="L13" i="2"/>
  <c r="L69" i="2"/>
  <c r="L78" i="2"/>
  <c r="L82" i="2"/>
  <c r="L80" i="2"/>
  <c r="L28" i="2"/>
  <c r="L55" i="2"/>
  <c r="I888" i="3"/>
  <c r="J888" i="3" s="1"/>
  <c r="L62" i="2"/>
  <c r="K83" i="2" l="1"/>
  <c r="N83" i="2" s="1"/>
  <c r="K75" i="2"/>
  <c r="N75" i="2" s="1"/>
  <c r="K49" i="2"/>
  <c r="N49" i="2" s="1"/>
  <c r="K61" i="2"/>
  <c r="K9" i="2"/>
  <c r="N9" i="2" s="1"/>
  <c r="K6" i="2"/>
  <c r="K7" i="2"/>
  <c r="K56" i="2"/>
  <c r="K37" i="2"/>
  <c r="K35" i="2"/>
  <c r="K57" i="2"/>
  <c r="N57" i="2" s="1"/>
  <c r="J156" i="5" s="1"/>
  <c r="K46" i="2"/>
  <c r="K39" i="2"/>
  <c r="N39" i="2" s="1"/>
  <c r="J140" i="5" s="1"/>
  <c r="K29" i="2"/>
  <c r="K58" i="2"/>
  <c r="K30" i="2"/>
  <c r="K73" i="2"/>
  <c r="K63" i="2"/>
  <c r="K10" i="2"/>
  <c r="N10" i="2" s="1"/>
  <c r="J111" i="5" s="1"/>
  <c r="K34" i="2"/>
  <c r="K38" i="2"/>
  <c r="M38" i="2" s="1"/>
  <c r="I139" i="5" s="1"/>
  <c r="K32" i="2"/>
  <c r="K8" i="2"/>
  <c r="M8" i="2" s="1"/>
  <c r="I109" i="5" s="1"/>
  <c r="K47" i="2"/>
  <c r="K20" i="2"/>
  <c r="N20" i="2" s="1"/>
  <c r="K62" i="2"/>
  <c r="K13" i="2"/>
  <c r="N13" i="2" s="1"/>
  <c r="J114" i="5" s="1"/>
  <c r="K40" i="2"/>
  <c r="K11" i="2"/>
  <c r="M11" i="2" s="1"/>
  <c r="I112" i="5" s="1"/>
  <c r="K22" i="2"/>
  <c r="K14" i="2"/>
  <c r="K43" i="2"/>
  <c r="K25" i="2"/>
  <c r="K36" i="2"/>
  <c r="M36" i="2" s="1"/>
  <c r="I137" i="5" s="1"/>
  <c r="K21" i="2"/>
  <c r="M21" i="2" s="1"/>
  <c r="I122" i="5" s="1"/>
  <c r="K59" i="2"/>
  <c r="K77" i="2"/>
  <c r="N77" i="2" s="1"/>
  <c r="J176" i="5" s="1"/>
  <c r="K64" i="2"/>
  <c r="K19" i="2"/>
  <c r="K48" i="2"/>
  <c r="K45" i="2"/>
  <c r="N45" i="2" s="1"/>
  <c r="K78" i="2"/>
  <c r="K23" i="2"/>
  <c r="K31" i="2"/>
  <c r="K65" i="2"/>
  <c r="N65" i="2" s="1"/>
  <c r="J164" i="5" s="1"/>
  <c r="K70" i="2"/>
  <c r="K27" i="2"/>
  <c r="K68" i="2"/>
  <c r="K72" i="2"/>
  <c r="K5" i="2"/>
  <c r="K28" i="2"/>
  <c r="K55" i="2"/>
  <c r="N55" i="2" s="1"/>
  <c r="J154" i="5" s="1"/>
  <c r="K41" i="2"/>
  <c r="K66" i="2"/>
  <c r="K54" i="2"/>
  <c r="N54" i="2" s="1"/>
  <c r="K17" i="2"/>
  <c r="M17" i="2" s="1"/>
  <c r="I118" i="5" s="1"/>
  <c r="K71" i="2"/>
  <c r="K50" i="2"/>
  <c r="K33" i="2"/>
  <c r="K15" i="2"/>
  <c r="K24" i="2"/>
  <c r="K82" i="2"/>
  <c r="K80" i="2"/>
  <c r="K67" i="2"/>
  <c r="K74" i="2"/>
  <c r="K44" i="2"/>
  <c r="K60" i="2"/>
  <c r="M61" i="2"/>
  <c r="I159" i="5" s="1"/>
  <c r="B13" i="2"/>
  <c r="H181" i="5"/>
  <c r="K88" i="2" a="1"/>
  <c r="K88" i="2" s="1"/>
  <c r="K85" i="2" a="1"/>
  <c r="K85" i="2" s="1"/>
  <c r="K86" i="2" a="1"/>
  <c r="K86" i="2" s="1"/>
  <c r="K87" i="2" a="1"/>
  <c r="K87" i="2" s="1"/>
  <c r="K89" i="2" a="1"/>
  <c r="K89" i="2" s="1"/>
  <c r="K81" i="2"/>
  <c r="K16" i="2"/>
  <c r="K26" i="2"/>
  <c r="K12" i="2"/>
  <c r="K18" i="2"/>
  <c r="K42" i="2"/>
  <c r="K69" i="2"/>
  <c r="K76" i="2"/>
  <c r="K79" i="2"/>
  <c r="M37" i="2"/>
  <c r="I138" i="5" s="1"/>
  <c r="M29" i="2"/>
  <c r="I130" i="5" s="1"/>
  <c r="J174" i="5"/>
  <c r="M73" i="2"/>
  <c r="I171" i="5" s="1"/>
  <c r="M45" i="2"/>
  <c r="I146" i="5" s="1"/>
  <c r="M77" i="2"/>
  <c r="I175" i="5" s="1"/>
  <c r="H150" i="5"/>
  <c r="M49" i="2"/>
  <c r="I150" i="5" s="1"/>
  <c r="J150" i="5"/>
  <c r="H121" i="5"/>
  <c r="M20" i="2"/>
  <c r="I121" i="5" s="1"/>
  <c r="J121" i="5"/>
  <c r="H126" i="5"/>
  <c r="M83" i="2"/>
  <c r="I181" i="5" s="1"/>
  <c r="H110" i="5"/>
  <c r="J110" i="5"/>
  <c r="M75" i="2"/>
  <c r="I173" i="5" s="1"/>
  <c r="H173" i="5"/>
  <c r="H140" i="5"/>
  <c r="M39" i="2"/>
  <c r="I140" i="5" s="1"/>
  <c r="H146" i="5"/>
  <c r="J146" i="5"/>
  <c r="M63" i="2"/>
  <c r="I161" i="5" s="1"/>
  <c r="M9" i="2"/>
  <c r="I110" i="5" s="1"/>
  <c r="H111" i="5" l="1"/>
  <c r="M10" i="2"/>
  <c r="I111" i="5" s="1"/>
  <c r="M57" i="2"/>
  <c r="I155" i="5" s="1"/>
  <c r="M65" i="2"/>
  <c r="I163" i="5" s="1"/>
  <c r="H155" i="5"/>
  <c r="H114" i="5"/>
  <c r="M13" i="2"/>
  <c r="I114" i="5" s="1"/>
  <c r="H175" i="5"/>
  <c r="H163" i="5"/>
  <c r="M55" i="2"/>
  <c r="I153" i="5" s="1"/>
  <c r="J186" i="5"/>
  <c r="H186" i="5"/>
  <c r="J183" i="5"/>
  <c r="H183" i="5"/>
  <c r="J184" i="5"/>
  <c r="H184" i="5"/>
  <c r="H182" i="5"/>
  <c r="J185" i="5"/>
  <c r="H185" i="5"/>
  <c r="H153" i="5"/>
  <c r="H127" i="5"/>
  <c r="N26" i="2"/>
  <c r="J127" i="5" s="1"/>
  <c r="H178" i="5"/>
  <c r="N80" i="2"/>
  <c r="J179" i="5" s="1"/>
  <c r="H166" i="5"/>
  <c r="N68" i="2"/>
  <c r="J167" i="5" s="1"/>
  <c r="M48" i="2"/>
  <c r="I149" i="5" s="1"/>
  <c r="N48" i="2"/>
  <c r="J149" i="5" s="1"/>
  <c r="N43" i="2"/>
  <c r="J144" i="5" s="1"/>
  <c r="N47" i="2"/>
  <c r="J148" i="5" s="1"/>
  <c r="M30" i="2"/>
  <c r="I131" i="5" s="1"/>
  <c r="N30" i="2"/>
  <c r="J131" i="5" s="1"/>
  <c r="M56" i="2"/>
  <c r="I154" i="5" s="1"/>
  <c r="N56" i="2"/>
  <c r="J155" i="5" s="1"/>
  <c r="M12" i="2"/>
  <c r="I113" i="5" s="1"/>
  <c r="N12" i="2"/>
  <c r="J113" i="5" s="1"/>
  <c r="M79" i="2"/>
  <c r="I177" i="5" s="1"/>
  <c r="N79" i="2"/>
  <c r="J178" i="5" s="1"/>
  <c r="H117" i="5"/>
  <c r="N16" i="2"/>
  <c r="J117" i="5" s="1"/>
  <c r="H180" i="5"/>
  <c r="N82" i="2"/>
  <c r="J181" i="5" s="1"/>
  <c r="H164" i="5"/>
  <c r="N66" i="2"/>
  <c r="J165" i="5" s="1"/>
  <c r="N27" i="2"/>
  <c r="J128" i="5" s="1"/>
  <c r="H120" i="5"/>
  <c r="N19" i="2"/>
  <c r="J120" i="5" s="1"/>
  <c r="M14" i="2"/>
  <c r="I115" i="5" s="1"/>
  <c r="N14" i="2"/>
  <c r="J115" i="5" s="1"/>
  <c r="H109" i="5"/>
  <c r="N8" i="2"/>
  <c r="J109" i="5" s="1"/>
  <c r="N58" i="2"/>
  <c r="J157" i="5" s="1"/>
  <c r="H108" i="5"/>
  <c r="N7" i="2"/>
  <c r="J108" i="5" s="1"/>
  <c r="H119" i="5"/>
  <c r="N18" i="2"/>
  <c r="J119" i="5" s="1"/>
  <c r="H174" i="5"/>
  <c r="N76" i="2"/>
  <c r="J175" i="5" s="1"/>
  <c r="H179" i="5"/>
  <c r="N81" i="2"/>
  <c r="H125" i="5"/>
  <c r="N24" i="2"/>
  <c r="J125" i="5" s="1"/>
  <c r="N41" i="2"/>
  <c r="J142" i="5" s="1"/>
  <c r="H168" i="5"/>
  <c r="N70" i="2"/>
  <c r="J169" i="5" s="1"/>
  <c r="H162" i="5"/>
  <c r="N64" i="2"/>
  <c r="J163" i="5" s="1"/>
  <c r="H123" i="5"/>
  <c r="N22" i="2"/>
  <c r="J123" i="5" s="1"/>
  <c r="H133" i="5"/>
  <c r="N32" i="2"/>
  <c r="J133" i="5" s="1"/>
  <c r="H130" i="5"/>
  <c r="N29" i="2"/>
  <c r="J130" i="5" s="1"/>
  <c r="H107" i="5"/>
  <c r="N6" i="2"/>
  <c r="J107" i="5" s="1"/>
  <c r="H116" i="5"/>
  <c r="N15" i="2"/>
  <c r="J116" i="5" s="1"/>
  <c r="H112" i="5"/>
  <c r="N11" i="2"/>
  <c r="J112" i="5" s="1"/>
  <c r="H139" i="5"/>
  <c r="N38" i="2"/>
  <c r="J139" i="5" s="1"/>
  <c r="H167" i="5"/>
  <c r="N69" i="2"/>
  <c r="J168" i="5" s="1"/>
  <c r="H158" i="5"/>
  <c r="N60" i="2"/>
  <c r="J159" i="5" s="1"/>
  <c r="H134" i="5"/>
  <c r="N33" i="2"/>
  <c r="J134" i="5" s="1"/>
  <c r="H129" i="5"/>
  <c r="N28" i="2"/>
  <c r="J129" i="5" s="1"/>
  <c r="N31" i="2"/>
  <c r="J132" i="5" s="1"/>
  <c r="H157" i="5"/>
  <c r="N59" i="2"/>
  <c r="J158" i="5" s="1"/>
  <c r="H141" i="5"/>
  <c r="N40" i="2"/>
  <c r="J141" i="5" s="1"/>
  <c r="N34" i="2"/>
  <c r="J135" i="5" s="1"/>
  <c r="H147" i="5"/>
  <c r="N46" i="2"/>
  <c r="J147" i="5" s="1"/>
  <c r="H159" i="5"/>
  <c r="N61" i="2"/>
  <c r="J160" i="5" s="1"/>
  <c r="H145" i="5"/>
  <c r="N44" i="2"/>
  <c r="J145" i="5" s="1"/>
  <c r="H151" i="5"/>
  <c r="N50" i="2"/>
  <c r="J151" i="5" s="1"/>
  <c r="M5" i="2"/>
  <c r="I106" i="5" s="1"/>
  <c r="N5" i="2"/>
  <c r="J106" i="5" s="1"/>
  <c r="H124" i="5"/>
  <c r="N23" i="2"/>
  <c r="J124" i="5" s="1"/>
  <c r="H122" i="5"/>
  <c r="N21" i="2"/>
  <c r="J122" i="5" s="1"/>
  <c r="N42" i="2"/>
  <c r="J143" i="5" s="1"/>
  <c r="N74" i="2"/>
  <c r="J173" i="5" s="1"/>
  <c r="H169" i="5"/>
  <c r="N71" i="2"/>
  <c r="J170" i="5" s="1"/>
  <c r="M72" i="2"/>
  <c r="I170" i="5" s="1"/>
  <c r="N72" i="2"/>
  <c r="J171" i="5" s="1"/>
  <c r="H176" i="5"/>
  <c r="N78" i="2"/>
  <c r="J177" i="5" s="1"/>
  <c r="H137" i="5"/>
  <c r="N36" i="2"/>
  <c r="J137" i="5" s="1"/>
  <c r="M62" i="2"/>
  <c r="I160" i="5" s="1"/>
  <c r="N62" i="2"/>
  <c r="J161" i="5" s="1"/>
  <c r="H161" i="5"/>
  <c r="N63" i="2"/>
  <c r="J162" i="5" s="1"/>
  <c r="H136" i="5"/>
  <c r="N35" i="2"/>
  <c r="J136" i="5" s="1"/>
  <c r="M67" i="2"/>
  <c r="I165" i="5" s="1"/>
  <c r="N67" i="2"/>
  <c r="J166" i="5" s="1"/>
  <c r="H118" i="5"/>
  <c r="N17" i="2"/>
  <c r="J118" i="5" s="1"/>
  <c r="M25" i="2"/>
  <c r="I126" i="5" s="1"/>
  <c r="N25" i="2"/>
  <c r="J126" i="5" s="1"/>
  <c r="H171" i="5"/>
  <c r="N73" i="2"/>
  <c r="J172" i="5" s="1"/>
  <c r="H138" i="5"/>
  <c r="N37" i="2"/>
  <c r="J138" i="5" s="1"/>
  <c r="M78" i="2"/>
  <c r="I176" i="5" s="1"/>
  <c r="M74" i="2"/>
  <c r="I172" i="5" s="1"/>
  <c r="M71" i="2"/>
  <c r="I169" i="5" s="1"/>
  <c r="H160" i="5"/>
  <c r="H170" i="5"/>
  <c r="M35" i="2"/>
  <c r="I136" i="5" s="1"/>
  <c r="H172" i="5"/>
  <c r="M15" i="2"/>
  <c r="I116" i="5" s="1"/>
  <c r="H148" i="5"/>
  <c r="H144" i="5"/>
  <c r="H154" i="5"/>
  <c r="M43" i="2"/>
  <c r="I144" i="5" s="1"/>
  <c r="M47" i="2"/>
  <c r="I148" i="5" s="1"/>
  <c r="M68" i="2"/>
  <c r="I166" i="5" s="1"/>
  <c r="H131" i="5"/>
  <c r="M80" i="2"/>
  <c r="I178" i="5" s="1"/>
  <c r="H152" i="5"/>
  <c r="H149" i="5"/>
  <c r="M54" i="2"/>
  <c r="I152" i="5" s="1"/>
  <c r="M7" i="2"/>
  <c r="I108" i="5" s="1"/>
  <c r="M59" i="2"/>
  <c r="I157" i="5" s="1"/>
  <c r="H135" i="5"/>
  <c r="H165" i="5"/>
  <c r="M24" i="2"/>
  <c r="I125" i="5" s="1"/>
  <c r="H142" i="5"/>
  <c r="M32" i="2"/>
  <c r="I133" i="5" s="1"/>
  <c r="M22" i="2"/>
  <c r="I123" i="5" s="1"/>
  <c r="M50" i="2"/>
  <c r="I151" i="5" s="1"/>
  <c r="M64" i="2"/>
  <c r="I162" i="5" s="1"/>
  <c r="H106" i="5"/>
  <c r="M23" i="2"/>
  <c r="I124" i="5" s="1"/>
  <c r="M70" i="2"/>
  <c r="I168" i="5" s="1"/>
  <c r="M6" i="2"/>
  <c r="I107" i="5" s="1"/>
  <c r="M41" i="2"/>
  <c r="I142" i="5" s="1"/>
  <c r="M27" i="2"/>
  <c r="I128" i="5" s="1"/>
  <c r="H128" i="5"/>
  <c r="H115" i="5"/>
  <c r="M66" i="2"/>
  <c r="I164" i="5" s="1"/>
  <c r="M58" i="2"/>
  <c r="I156" i="5" s="1"/>
  <c r="H156" i="5"/>
  <c r="M82" i="2"/>
  <c r="I180" i="5" s="1"/>
  <c r="M19" i="2"/>
  <c r="I120" i="5" s="1"/>
  <c r="M46" i="2"/>
  <c r="I147" i="5" s="1"/>
  <c r="M34" i="2"/>
  <c r="I135" i="5" s="1"/>
  <c r="M40" i="2"/>
  <c r="I141" i="5" s="1"/>
  <c r="M28" i="2"/>
  <c r="I129" i="5" s="1"/>
  <c r="H132" i="5"/>
  <c r="M31" i="2"/>
  <c r="I132" i="5" s="1"/>
  <c r="M60" i="2"/>
  <c r="I158" i="5" s="1"/>
  <c r="M33" i="2"/>
  <c r="I134" i="5" s="1"/>
  <c r="M44" i="2"/>
  <c r="I145" i="5" s="1"/>
  <c r="B10" i="2"/>
  <c r="B20" i="2" s="1"/>
  <c r="M85" i="2"/>
  <c r="I182" i="5" s="1"/>
  <c r="M88" i="2"/>
  <c r="I185" i="5" s="1"/>
  <c r="M86" i="2"/>
  <c r="I183" i="5" s="1"/>
  <c r="M89" i="2"/>
  <c r="I186" i="5" s="1"/>
  <c r="M87" i="2"/>
  <c r="I184" i="5" s="1"/>
  <c r="H113" i="5"/>
  <c r="M18" i="2"/>
  <c r="I119" i="5" s="1"/>
  <c r="M81" i="2"/>
  <c r="I179" i="5" s="1"/>
  <c r="J180" i="5"/>
  <c r="M16" i="2"/>
  <c r="I117" i="5" s="1"/>
  <c r="M26" i="2"/>
  <c r="I127" i="5" s="1"/>
  <c r="H143" i="5"/>
  <c r="M42" i="2"/>
  <c r="I143" i="5" s="1"/>
  <c r="M69" i="2"/>
  <c r="I167" i="5" s="1"/>
  <c r="M76" i="2"/>
  <c r="I174" i="5" s="1"/>
  <c r="H177" i="5"/>
  <c r="J153" i="5"/>
  <c r="J152" i="5"/>
  <c r="B16" i="2" l="1"/>
  <c r="H14" i="5"/>
  <c r="J14" i="5" s="1"/>
  <c r="I14" i="5" l="1"/>
  <c r="K14" i="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Usuário do Windows</author>
    <author>tc={B4FA0FB2-53E9-495D-88A7-1A0F76C5D20E}</author>
    <author>tc={C516DD45-054C-4642-BD73-88636CE07E91}</author>
    <author>tc={463DFE25-8240-4182-B34F-EB268AE4002A}</author>
    <author>tc={24F38ABF-3E01-4265-8AC5-762E00517795}</author>
    <author>tc={E5081BF6-58A1-414F-AC94-FF1B1DEAF9D2}</author>
  </authors>
  <commentList>
    <comment ref="L12" authorId="0" shapeId="0" xr:uid="{0A1F8E1B-D2F4-4C15-8EFF-7BA66C4E3032}">
      <text>
        <r>
          <rPr>
            <b/>
            <sz val="9"/>
            <color indexed="81"/>
            <rFont val="Segoe UI"/>
            <family val="2"/>
          </rPr>
          <t>Usuário do Windows:</t>
        </r>
        <r>
          <rPr>
            <sz val="9"/>
            <color indexed="81"/>
            <rFont val="Segoe UI"/>
            <family val="2"/>
          </rPr>
          <t xml:space="preserve">
Inserir nr. Do Relatório SEI</t>
        </r>
      </text>
    </comment>
    <comment ref="M12" authorId="0" shapeId="0" xr:uid="{48FB56E2-0EBD-4A5C-A3F0-C38D632D4698}">
      <text>
        <r>
          <rPr>
            <b/>
            <sz val="9"/>
            <color indexed="81"/>
            <rFont val="Segoe UI"/>
            <family val="2"/>
          </rPr>
          <t>Usuário do Windows:</t>
        </r>
        <r>
          <rPr>
            <sz val="9"/>
            <color indexed="81"/>
            <rFont val="Segoe UI"/>
            <family val="2"/>
          </rPr>
          <t xml:space="preserve">
Inserir nr. Do Relatório SEI</t>
        </r>
      </text>
    </comment>
    <comment ref="N12" authorId="0" shapeId="0" xr:uid="{3B645EE0-C9CE-48F3-A1B0-98F4EE9F1102}">
      <text>
        <r>
          <rPr>
            <b/>
            <sz val="9"/>
            <color indexed="81"/>
            <rFont val="Segoe UI"/>
            <family val="2"/>
          </rPr>
          <t>Usuário do Windows:</t>
        </r>
        <r>
          <rPr>
            <sz val="9"/>
            <color indexed="81"/>
            <rFont val="Segoe UI"/>
            <family val="2"/>
          </rPr>
          <t xml:space="preserve">
Inserir nr. Do Relatório SEI</t>
        </r>
      </text>
    </comment>
    <comment ref="O12" authorId="0" shapeId="0" xr:uid="{4646B021-13A6-4BE0-B1C3-39A036858D41}">
      <text>
        <r>
          <rPr>
            <b/>
            <sz val="9"/>
            <color indexed="81"/>
            <rFont val="Segoe UI"/>
            <family val="2"/>
          </rPr>
          <t>Usuário do Windows:</t>
        </r>
        <r>
          <rPr>
            <sz val="9"/>
            <color indexed="81"/>
            <rFont val="Segoe UI"/>
            <family val="2"/>
          </rPr>
          <t xml:space="preserve">
Inserir nr. Do Relatório SEI</t>
        </r>
      </text>
    </comment>
    <comment ref="P12" authorId="0" shapeId="0" xr:uid="{7DFCC895-6DCF-4CDA-9E5B-D58410B858B1}">
      <text>
        <r>
          <rPr>
            <b/>
            <sz val="9"/>
            <color indexed="81"/>
            <rFont val="Segoe UI"/>
            <family val="2"/>
          </rPr>
          <t>Usuário do Windows:</t>
        </r>
        <r>
          <rPr>
            <sz val="9"/>
            <color indexed="81"/>
            <rFont val="Segoe UI"/>
            <family val="2"/>
          </rPr>
          <t xml:space="preserve">
Inserir nr. Do Relatório SEI</t>
        </r>
      </text>
    </comment>
    <comment ref="Q12" authorId="0" shapeId="0" xr:uid="{AB8D4C99-BF1C-44E3-AD67-501BC528D771}">
      <text>
        <r>
          <rPr>
            <b/>
            <sz val="9"/>
            <color indexed="81"/>
            <rFont val="Segoe UI"/>
            <family val="2"/>
          </rPr>
          <t>Usuário do Windows:</t>
        </r>
        <r>
          <rPr>
            <sz val="9"/>
            <color indexed="81"/>
            <rFont val="Segoe UI"/>
            <family val="2"/>
          </rPr>
          <t xml:space="preserve">
Inserir nr. Do Relatório SEI</t>
        </r>
      </text>
    </comment>
    <comment ref="R12" authorId="0" shapeId="0" xr:uid="{D92343B0-2DF7-4129-89CD-1839CAB72816}">
      <text>
        <r>
          <rPr>
            <b/>
            <sz val="9"/>
            <color indexed="81"/>
            <rFont val="Segoe UI"/>
            <family val="2"/>
          </rPr>
          <t>Usuário do Windows:</t>
        </r>
        <r>
          <rPr>
            <sz val="9"/>
            <color indexed="81"/>
            <rFont val="Segoe UI"/>
            <family val="2"/>
          </rPr>
          <t xml:space="preserve">
Inserir nr. Do Relatório SEI</t>
        </r>
      </text>
    </comment>
    <comment ref="S12" authorId="0" shapeId="0" xr:uid="{D8D5EFA2-A16C-4F3B-A18B-0B04D97D1046}">
      <text>
        <r>
          <rPr>
            <b/>
            <sz val="9"/>
            <color indexed="81"/>
            <rFont val="Segoe UI"/>
            <family val="2"/>
          </rPr>
          <t>Usuário do Windows:</t>
        </r>
        <r>
          <rPr>
            <sz val="9"/>
            <color indexed="81"/>
            <rFont val="Segoe UI"/>
            <family val="2"/>
          </rPr>
          <t xml:space="preserve">
Inserir nr. Do Relatório SEI</t>
        </r>
      </text>
    </comment>
    <comment ref="T12" authorId="0" shapeId="0" xr:uid="{399C43FD-3022-4985-9AD4-F2649D1686D7}">
      <text>
        <r>
          <rPr>
            <b/>
            <sz val="9"/>
            <color indexed="81"/>
            <rFont val="Segoe UI"/>
            <family val="2"/>
          </rPr>
          <t>Usuário do Windows:</t>
        </r>
        <r>
          <rPr>
            <sz val="9"/>
            <color indexed="81"/>
            <rFont val="Segoe UI"/>
            <family val="2"/>
          </rPr>
          <t xml:space="preserve">
Inserir nr. Do Relatório SEI</t>
        </r>
      </text>
    </comment>
    <comment ref="U12" authorId="0" shapeId="0" xr:uid="{0E6558D6-5D4F-4365-8D04-EF17CAB096E0}">
      <text>
        <r>
          <rPr>
            <b/>
            <sz val="9"/>
            <color indexed="81"/>
            <rFont val="Segoe UI"/>
            <family val="2"/>
          </rPr>
          <t>Usuário do Windows:</t>
        </r>
        <r>
          <rPr>
            <sz val="9"/>
            <color indexed="81"/>
            <rFont val="Segoe UI"/>
            <family val="2"/>
          </rPr>
          <t xml:space="preserve">
Inserir nr. Do Relatório SEI</t>
        </r>
      </text>
    </comment>
    <comment ref="V12" authorId="0" shapeId="0" xr:uid="{75170CDF-B18F-4A4E-A441-8F47F5DE8803}">
      <text>
        <r>
          <rPr>
            <b/>
            <sz val="9"/>
            <color indexed="81"/>
            <rFont val="Segoe UI"/>
            <family val="2"/>
          </rPr>
          <t>Usuário do Windows:</t>
        </r>
        <r>
          <rPr>
            <sz val="9"/>
            <color indexed="81"/>
            <rFont val="Segoe UI"/>
            <family val="2"/>
          </rPr>
          <t xml:space="preserve">
Inserir nr. Do Relatório SEI</t>
        </r>
      </text>
    </comment>
    <comment ref="W12" authorId="0" shapeId="0" xr:uid="{A5875B22-1F47-401B-A183-65EC90D2BCC4}">
      <text>
        <r>
          <rPr>
            <b/>
            <sz val="9"/>
            <color indexed="81"/>
            <rFont val="Segoe UI"/>
            <family val="2"/>
          </rPr>
          <t>Usuário do Windows:</t>
        </r>
        <r>
          <rPr>
            <sz val="9"/>
            <color indexed="81"/>
            <rFont val="Segoe UI"/>
            <family val="2"/>
          </rPr>
          <t xml:space="preserve">
Inserir nr. Do Relatório SEI</t>
        </r>
      </text>
    </comment>
    <comment ref="G14" authorId="1" shapeId="0" xr:uid="{B4FA0FB2-53E9-495D-88A7-1A0F76C5D20E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Falta descontar valor da fatura de Dezembro/2021</t>
      </text>
    </comment>
    <comment ref="G15" authorId="2" shapeId="0" xr:uid="{C516DD45-054C-4642-BD73-88636CE07E91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Falta descontar valor da fatura de Dezembro/2021</t>
      </text>
    </comment>
    <comment ref="G16" authorId="3" shapeId="0" xr:uid="{463DFE25-8240-4182-B34F-EB268AE4002A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Entrou em RAP. Falta verificar se há fatura para o mês de dezembro/2021.</t>
      </text>
    </comment>
    <comment ref="G17" authorId="4" shapeId="0" xr:uid="{24F38ABF-3E01-4265-8AC5-762E00517795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Entrou em RAP. Falta verificar se há fatura para o mês de dezembro/2021.</t>
      </text>
    </comment>
    <comment ref="G18" authorId="5" shapeId="0" xr:uid="{E5081BF6-58A1-414F-AC94-FF1B1DEAF9D2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Entrou em RAP.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<sst xmlns="http://schemas.openxmlformats.org/spreadsheetml/2006/main" count="4173" uniqueCount="324">
  <si>
    <t>Proponente</t>
  </si>
  <si>
    <t>Nota de Crédito</t>
  </si>
  <si>
    <t>Programa</t>
  </si>
  <si>
    <t>Valor Inicial NC</t>
  </si>
  <si>
    <t>Mês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</si>
  <si>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</si>
  <si>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</si>
  <si>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</si>
  <si>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</si>
  <si>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</si>
  <si>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</si>
  <si>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</si>
  <si>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</si>
  <si>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</si>
  <si>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</si>
  <si>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</si>
  <si>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</si>
  <si>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Taxa SELIC</t>
  </si>
  <si>
    <t>Observação</t>
  </si>
  <si>
    <t>Valor Economizado</t>
  </si>
  <si>
    <t>Valor Utilizado</t>
  </si>
  <si>
    <t>Saldo</t>
  </si>
  <si>
    <t>Valor Faturado</t>
  </si>
  <si>
    <t>Bancada de Alagoas</t>
  </si>
  <si>
    <t>2021NE000127</t>
  </si>
  <si>
    <t>2021NE000156</t>
  </si>
  <si>
    <t>2021NE000209</t>
  </si>
  <si>
    <t>Bancada de Minas Gerais</t>
  </si>
  <si>
    <t>2021NE000083</t>
  </si>
  <si>
    <t>Bancada de São Paulo</t>
  </si>
  <si>
    <t>2021NE000171</t>
  </si>
  <si>
    <t>Bancada do Espírito Santo</t>
  </si>
  <si>
    <t>2021NE000101</t>
  </si>
  <si>
    <t>2021NE000126</t>
  </si>
  <si>
    <t>2021NE000159</t>
  </si>
  <si>
    <t>Bancada do Maranhão</t>
  </si>
  <si>
    <t>2021NE000108</t>
  </si>
  <si>
    <t>Bancada do Pará</t>
  </si>
  <si>
    <t>2021NE000134</t>
  </si>
  <si>
    <t>2021NE000158</t>
  </si>
  <si>
    <t>Cabo Junio Amaral</t>
  </si>
  <si>
    <t>2021NE000122</t>
  </si>
  <si>
    <t>Celso Sabino</t>
  </si>
  <si>
    <t>2021NE000119</t>
  </si>
  <si>
    <t>13/2021</t>
  </si>
  <si>
    <t>Coronel Chrisóstomo</t>
  </si>
  <si>
    <t>2021NE000132</t>
  </si>
  <si>
    <t>14/2021</t>
  </si>
  <si>
    <t>Dimas Fabiano</t>
  </si>
  <si>
    <t>2021NE000183</t>
  </si>
  <si>
    <t>15/2021</t>
  </si>
  <si>
    <t>Edna Henrique</t>
  </si>
  <si>
    <t>2021NE000130</t>
  </si>
  <si>
    <t>16/2021</t>
  </si>
  <si>
    <t>Elias Vaz</t>
  </si>
  <si>
    <t>2021NE000192</t>
  </si>
  <si>
    <t>17/2021</t>
  </si>
  <si>
    <t>Expedito Netto</t>
  </si>
  <si>
    <t>2021NE000117</t>
  </si>
  <si>
    <t>18/2021</t>
  </si>
  <si>
    <t>Fabio Reis</t>
  </si>
  <si>
    <t>2021NE000085</t>
  </si>
  <si>
    <t>19/2021</t>
  </si>
  <si>
    <t>Flavia Arruda</t>
  </si>
  <si>
    <t>2021NE000167</t>
  </si>
  <si>
    <t>20/2021</t>
  </si>
  <si>
    <t>Flaviano Melo</t>
  </si>
  <si>
    <t>2021NE000189</t>
  </si>
  <si>
    <t>22/2021</t>
  </si>
  <si>
    <t>General Girão</t>
  </si>
  <si>
    <t>2021NE000139</t>
  </si>
  <si>
    <t>23/2021</t>
  </si>
  <si>
    <t>João Roma</t>
  </si>
  <si>
    <t>2021NE000120</t>
  </si>
  <si>
    <t>24/2021</t>
  </si>
  <si>
    <t>Joenia Wapichana</t>
  </si>
  <si>
    <t>2021NE000087</t>
  </si>
  <si>
    <t>25/2021</t>
  </si>
  <si>
    <t>José Nunes</t>
  </si>
  <si>
    <t>2021NE000181</t>
  </si>
  <si>
    <t>26/2021</t>
  </si>
  <si>
    <t>Josivaldo JP</t>
  </si>
  <si>
    <t>2021NE000128</t>
  </si>
  <si>
    <t>27/2021</t>
  </si>
  <si>
    <t>Junior Lourenço</t>
  </si>
  <si>
    <t>2021NE000177</t>
  </si>
  <si>
    <t>28/2021</t>
  </si>
  <si>
    <t>Leo de Brito</t>
  </si>
  <si>
    <t>2021NE000179</t>
  </si>
  <si>
    <t>29/2021</t>
  </si>
  <si>
    <t>Leur Lomanto</t>
  </si>
  <si>
    <t>2021NE000098</t>
  </si>
  <si>
    <t>30/2021</t>
  </si>
  <si>
    <t>Luciano Bivar</t>
  </si>
  <si>
    <t>2021NE000118</t>
  </si>
  <si>
    <t>31/2021</t>
  </si>
  <si>
    <t>Luis Tibé</t>
  </si>
  <si>
    <t>2021NE000169</t>
  </si>
  <si>
    <t>32/2021</t>
  </si>
  <si>
    <t>Mara Rocha</t>
  </si>
  <si>
    <t>2021NE000115</t>
  </si>
  <si>
    <t>33/2021</t>
  </si>
  <si>
    <t>Marx Beltrão</t>
  </si>
  <si>
    <t>2021NE000173</t>
  </si>
  <si>
    <t>34/2021</t>
  </si>
  <si>
    <t>Ministério das Comunicações</t>
  </si>
  <si>
    <t>2021NE000094</t>
  </si>
  <si>
    <t>35/2021</t>
  </si>
  <si>
    <t>2021NE000198</t>
  </si>
  <si>
    <t>36/2021</t>
  </si>
  <si>
    <t>2021NE000227</t>
  </si>
  <si>
    <t>37/2021</t>
  </si>
  <si>
    <t>Ministério da Educação</t>
  </si>
  <si>
    <t>2021NE000109</t>
  </si>
  <si>
    <t>38/2021</t>
  </si>
  <si>
    <t>2021NE000110</t>
  </si>
  <si>
    <t>39/2021</t>
  </si>
  <si>
    <t>Ministério da Justiça</t>
  </si>
  <si>
    <t>2021NE000226</t>
  </si>
  <si>
    <t>40/2021</t>
  </si>
  <si>
    <t>Ministério do Meio Ambiente</t>
  </si>
  <si>
    <t>2021NE000248</t>
  </si>
  <si>
    <t>41/2021</t>
  </si>
  <si>
    <t>Perpétua Almeida</t>
  </si>
  <si>
    <t>2021NE000195</t>
  </si>
  <si>
    <t>42/2021</t>
  </si>
  <si>
    <t>PRF RO</t>
  </si>
  <si>
    <t>2021NE000247</t>
  </si>
  <si>
    <t>43/2021</t>
  </si>
  <si>
    <t>Senador Confúcio Moura</t>
  </si>
  <si>
    <t>2021NE000125</t>
  </si>
  <si>
    <t>44/2021</t>
  </si>
  <si>
    <t>Sérgio Petecão</t>
  </si>
  <si>
    <t>2021NE000191</t>
  </si>
  <si>
    <t>45/2021</t>
  </si>
  <si>
    <t>Soraya Thronicke</t>
  </si>
  <si>
    <t>2021NE000190</t>
  </si>
  <si>
    <t>46/2021</t>
  </si>
  <si>
    <t>Uldurico Junior</t>
  </si>
  <si>
    <t>2021NE000185</t>
  </si>
  <si>
    <t>47/2021</t>
  </si>
  <si>
    <t>01/2021</t>
  </si>
  <si>
    <t>02/2021</t>
  </si>
  <si>
    <t>03/2021</t>
  </si>
  <si>
    <t>04/2021</t>
  </si>
  <si>
    <t>05/2021</t>
  </si>
  <si>
    <t>06/2021</t>
  </si>
  <si>
    <t>07/2021</t>
  </si>
  <si>
    <t>08/2021</t>
  </si>
  <si>
    <t>09/2021</t>
  </si>
  <si>
    <t>12/2021</t>
  </si>
  <si>
    <t>11/2021</t>
  </si>
  <si>
    <t>10/2021</t>
  </si>
  <si>
    <t>GESAC</t>
  </si>
  <si>
    <t>Empenho</t>
  </si>
  <si>
    <t>2021NE000137</t>
  </si>
  <si>
    <t>48/2021</t>
  </si>
  <si>
    <t>2021NE000157</t>
  </si>
  <si>
    <t>49/2021</t>
  </si>
  <si>
    <t>2021NE000210</t>
  </si>
  <si>
    <t>50/2021</t>
  </si>
  <si>
    <t>2021NE000084</t>
  </si>
  <si>
    <t>51/2021</t>
  </si>
  <si>
    <t>2021NE000172</t>
  </si>
  <si>
    <t>52/2021</t>
  </si>
  <si>
    <t>2021NE000136</t>
  </si>
  <si>
    <t>53/2021</t>
  </si>
  <si>
    <t>2021NE000160</t>
  </si>
  <si>
    <t>54/2021</t>
  </si>
  <si>
    <t>2021NE000135</t>
  </si>
  <si>
    <t>55/2021</t>
  </si>
  <si>
    <t>2021NE000161</t>
  </si>
  <si>
    <t>56/2021</t>
  </si>
  <si>
    <t>2021NE000133</t>
  </si>
  <si>
    <t>57/2021</t>
  </si>
  <si>
    <t>2021NE000184</t>
  </si>
  <si>
    <t>58/2021</t>
  </si>
  <si>
    <t>2021NE000131</t>
  </si>
  <si>
    <t>59/2021</t>
  </si>
  <si>
    <t>2021NE000086</t>
  </si>
  <si>
    <t>60/2021</t>
  </si>
  <si>
    <t>2021NE000168</t>
  </si>
  <si>
    <t>61/2021</t>
  </si>
  <si>
    <t>2021NE000140</t>
  </si>
  <si>
    <t>62/2021</t>
  </si>
  <si>
    <t>2021NE000182</t>
  </si>
  <si>
    <t>63/2021</t>
  </si>
  <si>
    <t>2021NE000129</t>
  </si>
  <si>
    <t>64/2021</t>
  </si>
  <si>
    <t>2021NE000178</t>
  </si>
  <si>
    <t>65/2021</t>
  </si>
  <si>
    <t>2021NE000180</t>
  </si>
  <si>
    <t>66/2021</t>
  </si>
  <si>
    <t>2021NE000199</t>
  </si>
  <si>
    <t>67/2021</t>
  </si>
  <si>
    <t>2021NE000170</t>
  </si>
  <si>
    <t>68/2021</t>
  </si>
  <si>
    <t>2021NE000116</t>
  </si>
  <si>
    <t>69/2021</t>
  </si>
  <si>
    <t>2021NE000174</t>
  </si>
  <si>
    <t>70/2021</t>
  </si>
  <si>
    <t>2021NE000196</t>
  </si>
  <si>
    <t>71/2021</t>
  </si>
  <si>
    <t>2021NE000194</t>
  </si>
  <si>
    <t>72/2021</t>
  </si>
  <si>
    <t>2021NE000186</t>
  </si>
  <si>
    <t>73/2021</t>
  </si>
  <si>
    <t>2021NE000193</t>
  </si>
  <si>
    <t>74/2021</t>
  </si>
  <si>
    <t>MCom</t>
  </si>
  <si>
    <t>2021NE000065</t>
  </si>
  <si>
    <t>75/2021</t>
  </si>
  <si>
    <t>2021NE000123</t>
  </si>
  <si>
    <t>76/2021</t>
  </si>
  <si>
    <t>2021NE000100</t>
  </si>
  <si>
    <t>77/2021</t>
  </si>
  <si>
    <t>WifiBrasil</t>
  </si>
  <si>
    <t>NC</t>
  </si>
  <si>
    <t>Saldo no Período</t>
  </si>
  <si>
    <t>Relatório</t>
  </si>
  <si>
    <t>Total Geral</t>
  </si>
  <si>
    <t>Soma de Valor Utilizado</t>
  </si>
  <si>
    <t>Soma de Valor Faturado</t>
  </si>
  <si>
    <t>Soma de Saldo no Período</t>
  </si>
  <si>
    <t>Total Soma de Valor Faturado</t>
  </si>
  <si>
    <t>Total Soma de Valor Utilizado</t>
  </si>
  <si>
    <t/>
  </si>
  <si>
    <t>Total Soma de Saldo no Período</t>
  </si>
  <si>
    <t>CONTROLE GERAL DE SALDOS DE NOTAS DE CRÉDITO 2022</t>
  </si>
  <si>
    <t>CONTROLE MENSAL DE NOTAS DE CRÉDITO 2022</t>
  </si>
  <si>
    <t>Consumo da NC + Rendimentos %</t>
  </si>
  <si>
    <t>Valores Totais por Origem do Recurso</t>
  </si>
  <si>
    <t>Valores</t>
  </si>
  <si>
    <t>Origem do Recurso</t>
  </si>
  <si>
    <t>Total Empenhado</t>
  </si>
  <si>
    <t>Valores Pagos</t>
  </si>
  <si>
    <t>Em. Comissão</t>
  </si>
  <si>
    <t>Em. Individual</t>
  </si>
  <si>
    <t>TED</t>
  </si>
  <si>
    <t>Relatório SEI (NR)</t>
  </si>
  <si>
    <t>Processo</t>
  </si>
  <si>
    <t>Contrato</t>
  </si>
  <si>
    <t>Valor Empenhado</t>
  </si>
  <si>
    <t>Valor Pago</t>
  </si>
  <si>
    <t>Saldo do Empenho</t>
  </si>
  <si>
    <t>Tipo</t>
  </si>
  <si>
    <t>Valores Mensais de Pagamento por Proponente</t>
  </si>
  <si>
    <t>Rótulos de Coluna</t>
  </si>
  <si>
    <t>Soma de Valor Empenhado</t>
  </si>
  <si>
    <t>Soma de Valor Pago</t>
  </si>
  <si>
    <t>Soma de Saldo do Empenho</t>
  </si>
  <si>
    <t>Jan</t>
  </si>
  <si>
    <t>Fev</t>
  </si>
  <si>
    <t>Mar</t>
  </si>
  <si>
    <t>Abr</t>
  </si>
  <si>
    <t>Mai</t>
  </si>
  <si>
    <t>Jun</t>
  </si>
  <si>
    <t>Valores Mensais de Pagamento por Contrato</t>
  </si>
  <si>
    <t>Jul</t>
  </si>
  <si>
    <t>Ago</t>
  </si>
  <si>
    <t>Set</t>
  </si>
  <si>
    <t>Out</t>
  </si>
  <si>
    <t>Nov</t>
  </si>
  <si>
    <t>Dez</t>
  </si>
  <si>
    <t>Total Pago</t>
  </si>
  <si>
    <t>Saldo Empenhado</t>
  </si>
  <si>
    <t>Consumo %</t>
  </si>
  <si>
    <t>Valor total do consumo de recursos por origem % (NC ou Empenho)</t>
  </si>
  <si>
    <t>Origem Recurso</t>
  </si>
  <si>
    <t>Pendência</t>
  </si>
  <si>
    <t>Fim do Recurso (M)</t>
  </si>
  <si>
    <t>NC DE CRÉDITO 2021</t>
  </si>
  <si>
    <t>NC DE CRÉDITO 2020</t>
  </si>
  <si>
    <t>Legenda Consumo %</t>
  </si>
  <si>
    <t>Igual ou maior a 85%</t>
  </si>
  <si>
    <t>Igual ou maior a 70%</t>
  </si>
  <si>
    <t>Igual ou maior a 0%</t>
  </si>
  <si>
    <t>Comissão de Orçamento e Finanças</t>
  </si>
  <si>
    <t>Vicentinho Júnior</t>
  </si>
  <si>
    <t>Ministério das Comunicações (MS)</t>
  </si>
  <si>
    <t>Polícia Rodoviária Federal</t>
  </si>
  <si>
    <t>001/2020</t>
  </si>
  <si>
    <t>003/2020</t>
  </si>
  <si>
    <t>011/2020</t>
  </si>
  <si>
    <t>013/2020</t>
  </si>
  <si>
    <t>017/2020</t>
  </si>
  <si>
    <t>(vazio)</t>
  </si>
  <si>
    <t>Valor Inicial Total NC</t>
  </si>
  <si>
    <t>Saldo NC</t>
  </si>
  <si>
    <t xml:space="preserve">Consumo da NC </t>
  </si>
  <si>
    <t>Valor Corrigido</t>
  </si>
  <si>
    <t>Nota de Crédito 2020</t>
  </si>
  <si>
    <t>NC 2021 - SEI 8951921</t>
  </si>
  <si>
    <t>Nota de Empenho / NC</t>
  </si>
  <si>
    <t>Índice de Correção*</t>
  </si>
  <si>
    <r>
      <rPr>
        <b/>
        <sz val="11"/>
        <color theme="1"/>
        <rFont val="Calibri"/>
        <family val="2"/>
        <scheme val="minor"/>
      </rPr>
      <t>* Fonte de Dados</t>
    </r>
    <r>
      <rPr>
        <sz val="11"/>
        <color theme="1"/>
        <rFont val="Calibri"/>
        <family val="2"/>
        <scheme val="minor"/>
      </rPr>
      <t>: Calculadora do Cidadão - BACEN</t>
    </r>
  </si>
  <si>
    <t>IST**</t>
  </si>
  <si>
    <r>
      <rPr>
        <b/>
        <sz val="11"/>
        <color theme="1"/>
        <rFont val="Calibri"/>
        <family val="2"/>
        <scheme val="minor"/>
      </rPr>
      <t>** Fonte de Dados:</t>
    </r>
    <r>
      <rPr>
        <sz val="11"/>
        <color theme="1"/>
        <rFont val="Calibri"/>
        <family val="2"/>
        <scheme val="minor"/>
      </rPr>
      <t xml:space="preserve"> Agência Nacional de Telecomunicações</t>
    </r>
  </si>
  <si>
    <r>
      <rPr>
        <b/>
        <sz val="11"/>
        <color theme="1"/>
        <rFont val="Calibri"/>
        <family val="2"/>
        <scheme val="minor"/>
      </rPr>
      <t>Site:</t>
    </r>
    <r>
      <rPr>
        <sz val="11"/>
        <color theme="1"/>
        <rFont val="Calibri"/>
        <family val="2"/>
        <scheme val="minor"/>
      </rPr>
      <t xml:space="preserve"> https://www3.bcb.gov.br/</t>
    </r>
  </si>
  <si>
    <r>
      <rPr>
        <b/>
        <sz val="11"/>
        <color theme="1"/>
        <rFont val="Calibri"/>
        <family val="2"/>
        <scheme val="minor"/>
      </rPr>
      <t xml:space="preserve">Site: </t>
    </r>
    <r>
      <rPr>
        <sz val="11"/>
        <color theme="1"/>
        <rFont val="Calibri"/>
        <family val="2"/>
        <scheme val="minor"/>
      </rPr>
      <t>https://www.gov.br/anatel/pt-br/regulado/competicao/tarifas-e-precos/valores-do-ist</t>
    </r>
  </si>
  <si>
    <t>NC 2021 - SEI 8952142</t>
  </si>
  <si>
    <t>01250.013622/2020-71</t>
  </si>
  <si>
    <t>2021NE000095</t>
  </si>
  <si>
    <t>PRF AM</t>
  </si>
  <si>
    <t>2020NE800055</t>
  </si>
  <si>
    <t>53115.040805/2021-06</t>
  </si>
  <si>
    <t>Alice Portugal</t>
  </si>
  <si>
    <t>2021NE000238</t>
  </si>
  <si>
    <t>2021NE000239</t>
  </si>
  <si>
    <t>53115.037097/2021-18</t>
  </si>
  <si>
    <t>2021NE000235</t>
  </si>
  <si>
    <t>78/2021</t>
  </si>
  <si>
    <t>79/2021</t>
  </si>
  <si>
    <t>80/2021</t>
  </si>
  <si>
    <t>CENSIPAM</t>
  </si>
  <si>
    <t>Carla Dickson</t>
  </si>
  <si>
    <t>Ministério da Cidadania</t>
  </si>
  <si>
    <t>81/2021</t>
  </si>
  <si>
    <t>Confúcio Moura</t>
  </si>
  <si>
    <t>José Medeiros</t>
  </si>
  <si>
    <t>Empenho de 2020</t>
  </si>
  <si>
    <t>2020NE800012</t>
  </si>
  <si>
    <t>2020NE800004</t>
  </si>
  <si>
    <t>2020NE800019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</si>
</sst>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-&quot;R$&quot;* #,##0.00_-;\-&quot;R$&quot;* #,##0.00_-;_-&quot;R$&quot;* &quot;-&quot;??_-;_-@_-"/>
    <numFmt numFmtId="165" formatCode="&quot;R$&quot;\ #,##0.00"/>
    <numFmt numFmtId="166" formatCode="_-&quot;R$ &quot;* #,##0.00_-;&quot;-R$ &quot;* #,##0.00_-;_-&quot;R$ &quot;* \-??_-;_-@_-"/>
    <numFmt numFmtId="167" formatCode="&quot;R$&quot;#,##0.00"/>
    <numFmt numFmtId="168" formatCode="0.00\ &quot;mês/meses&quot;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rgb="FF000000"/>
      <name val="Calibri"/>
      <family val="2"/>
    </font>
    <font>
      <sz val="11"/>
      <color rgb="FF000000"/>
      <name val="Calibri"/>
      <family val="2"/>
      <charset val="1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sz val="11"/>
      <color theme="0" tint="-0.14999847407452621"/>
      <name val="Calibri"/>
      <family val="2"/>
      <scheme val="minor"/>
    </font>
    <font>
      <sz val="11"/>
      <color theme="6" tint="0.59999389629810485"/>
      <name val="Calibri"/>
      <family val="2"/>
      <scheme val="minor"/>
    </font>
    <font>
      <b/>
      <sz val="14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sz val="11"/>
      <color rgb="FFFF000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32">
    <border>
      <left/>
      <right/>
      <top/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dotted">
        <color rgb="FF000000"/>
      </right>
      <top style="thin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thin">
        <color rgb="FF000000"/>
      </top>
      <bottom style="dotted">
        <color rgb="FF000000"/>
      </bottom>
      <diagonal/>
    </border>
    <border>
      <left style="hair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hair">
        <color rgb="FF000000"/>
      </left>
      <right style="dotted">
        <color rgb="FF000000"/>
      </right>
      <top style="dotted">
        <color rgb="FF000000"/>
      </top>
      <bottom/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/>
      <diagonal/>
    </border>
    <border>
      <left style="hair">
        <color rgb="FF000000"/>
      </left>
      <right style="dotted">
        <color rgb="FF000000"/>
      </right>
      <top/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/>
      <bottom style="dotted">
        <color rgb="FF000000"/>
      </bottom>
      <diagonal/>
    </border>
    <border>
      <left/>
      <right style="dotted">
        <color rgb="FF000000"/>
      </right>
      <top style="thin">
        <color rgb="FF000000"/>
      </top>
      <bottom style="dotted">
        <color rgb="FF000000"/>
      </bottom>
      <diagonal/>
    </border>
    <border>
      <left style="dotted">
        <color rgb="FF000000"/>
      </left>
      <right/>
      <top style="thin">
        <color rgb="FF000000"/>
      </top>
      <bottom style="dotted">
        <color rgb="FF000000"/>
      </bottom>
      <diagonal/>
    </border>
    <border>
      <left/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/>
      <top style="dotted">
        <color rgb="FF000000"/>
      </top>
      <bottom style="dotted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theme="1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dashed">
        <color auto="1"/>
      </bottom>
      <diagonal/>
    </border>
    <border>
      <left/>
      <right/>
      <top style="dashed">
        <color auto="1"/>
      </top>
      <bottom style="dashed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dashed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dotted">
        <color rgb="FF000000"/>
      </right>
      <top style="dotted">
        <color rgb="FF000000"/>
      </top>
      <bottom style="thin">
        <color auto="1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thin">
        <color auto="1"/>
      </bottom>
      <diagonal/>
    </border>
    <border>
      <left style="dotted">
        <color rgb="FF000000"/>
      </left>
      <right/>
      <top style="dotted">
        <color rgb="FF000000"/>
      </top>
      <bottom style="thin">
        <color auto="1"/>
      </bottom>
      <diagonal/>
    </border>
    <border>
      <left/>
      <right/>
      <top style="dotted">
        <color rgb="FF000000"/>
      </top>
      <bottom style="dotted">
        <color rgb="FF000000"/>
      </bottom>
      <diagonal/>
    </border>
    <border>
      <left/>
      <right/>
      <top/>
      <bottom style="hair">
        <color auto="1"/>
      </bottom>
      <diagonal/>
    </border>
    <border>
      <left style="dotted">
        <color rgb="FF000000"/>
      </left>
      <right style="dotted">
        <color rgb="FF000000"/>
      </right>
      <top/>
      <bottom/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0" fillId="0" borderId="0"/>
    <xf numFmtId="166" fontId="10" fillId="0" borderId="0" applyBorder="0" applyProtection="0"/>
    <xf numFmtId="9" fontId="1" fillId="0" borderId="0" applyFont="0" applyFill="0" applyBorder="0" applyAlignment="0" applyProtection="0"/>
  </cellStyleXfs>
  <cellXfs count="17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64" fontId="0" fillId="0" borderId="0" xfId="0" applyNumberFormat="1"/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44" fontId="0" fillId="0" borderId="0" xfId="1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 indent="1"/>
    </xf>
    <xf numFmtId="164" fontId="0" fillId="0" borderId="0" xfId="0" applyNumberFormat="1" applyFont="1" applyBorder="1" applyAlignment="1">
      <alignment horizontal="center"/>
    </xf>
    <xf numFmtId="0" fontId="0" fillId="0" borderId="0" xfId="0" pivotButton="1" applyAlignment="1">
      <alignment horizontal="center"/>
    </xf>
    <xf numFmtId="0" fontId="2" fillId="2" borderId="1" xfId="0" applyNumberFormat="1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3" fillId="0" borderId="2" xfId="0" applyNumberFormat="1" applyFont="1" applyBorder="1" applyAlignment="1">
      <alignment horizontal="center" vertical="center" wrapText="1"/>
    </xf>
    <xf numFmtId="0" fontId="3" fillId="0" borderId="3" xfId="0" applyFont="1" applyBorder="1" applyAlignment="1">
      <alignment horizontal="left" vertical="center" wrapText="1"/>
    </xf>
    <xf numFmtId="0" fontId="0" fillId="0" borderId="3" xfId="0" applyFont="1" applyBorder="1" applyAlignment="1">
      <alignment horizontal="center"/>
    </xf>
    <xf numFmtId="0" fontId="3" fillId="0" borderId="3" xfId="0" applyFont="1" applyBorder="1" applyAlignment="1">
      <alignment horizontal="center" vertical="center" wrapText="1"/>
    </xf>
    <xf numFmtId="44" fontId="4" fillId="0" borderId="3" xfId="1" applyFont="1" applyBorder="1" applyAlignment="1">
      <alignment horizontal="center" vertical="center" wrapText="1"/>
    </xf>
    <xf numFmtId="44" fontId="1" fillId="0" borderId="3" xfId="1" applyFont="1" applyBorder="1" applyAlignment="1">
      <alignment horizontal="center"/>
    </xf>
    <xf numFmtId="0" fontId="3" fillId="0" borderId="4" xfId="0" applyNumberFormat="1" applyFont="1" applyBorder="1" applyAlignment="1">
      <alignment horizontal="center" vertical="center" wrapText="1"/>
    </xf>
    <xf numFmtId="0" fontId="3" fillId="0" borderId="5" xfId="0" applyFont="1" applyBorder="1" applyAlignment="1">
      <alignment horizontal="left" vertical="center" wrapText="1"/>
    </xf>
    <xf numFmtId="0" fontId="0" fillId="0" borderId="5" xfId="0" applyFont="1" applyBorder="1" applyAlignment="1">
      <alignment horizontal="center"/>
    </xf>
    <xf numFmtId="0" fontId="3" fillId="0" borderId="5" xfId="0" applyFont="1" applyBorder="1" applyAlignment="1">
      <alignment horizontal="center" vertical="center" wrapText="1"/>
    </xf>
    <xf numFmtId="44" fontId="4" fillId="0" borderId="5" xfId="1" applyFont="1" applyBorder="1" applyAlignment="1">
      <alignment horizontal="center" vertical="center" wrapText="1"/>
    </xf>
    <xf numFmtId="44" fontId="1" fillId="0" borderId="5" xfId="1" applyFont="1" applyBorder="1" applyAlignment="1">
      <alignment horizontal="center"/>
    </xf>
    <xf numFmtId="44" fontId="3" fillId="0" borderId="5" xfId="1" applyFont="1" applyBorder="1" applyAlignment="1">
      <alignment horizontal="center" vertical="center" wrapText="1"/>
    </xf>
    <xf numFmtId="0" fontId="3" fillId="0" borderId="6" xfId="0" applyNumberFormat="1" applyFont="1" applyBorder="1" applyAlignment="1">
      <alignment horizontal="center" vertical="center" wrapText="1"/>
    </xf>
    <xf numFmtId="0" fontId="3" fillId="0" borderId="7" xfId="0" applyFont="1" applyBorder="1" applyAlignment="1">
      <alignment horizontal="left" vertical="center" wrapText="1"/>
    </xf>
    <xf numFmtId="0" fontId="0" fillId="0" borderId="7" xfId="0" applyFont="1" applyBorder="1" applyAlignment="1">
      <alignment horizontal="center"/>
    </xf>
    <xf numFmtId="0" fontId="3" fillId="0" borderId="7" xfId="0" applyFont="1" applyBorder="1" applyAlignment="1">
      <alignment horizontal="center" vertical="center" wrapText="1"/>
    </xf>
    <xf numFmtId="44" fontId="1" fillId="0" borderId="7" xfId="1" applyFont="1" applyBorder="1" applyAlignment="1">
      <alignment horizontal="center"/>
    </xf>
    <xf numFmtId="0" fontId="3" fillId="0" borderId="8" xfId="0" applyNumberFormat="1" applyFont="1" applyBorder="1" applyAlignment="1">
      <alignment horizontal="center" vertical="center" wrapText="1"/>
    </xf>
    <xf numFmtId="0" fontId="3" fillId="0" borderId="9" xfId="0" applyFont="1" applyBorder="1" applyAlignment="1">
      <alignment horizontal="left" vertical="center" wrapText="1"/>
    </xf>
    <xf numFmtId="0" fontId="0" fillId="0" borderId="9" xfId="0" applyFont="1" applyBorder="1" applyAlignment="1">
      <alignment horizontal="center"/>
    </xf>
    <xf numFmtId="0" fontId="3" fillId="0" borderId="9" xfId="0" applyFont="1" applyBorder="1" applyAlignment="1">
      <alignment horizontal="center" vertical="center" wrapText="1"/>
    </xf>
    <xf numFmtId="44" fontId="3" fillId="0" borderId="9" xfId="1" applyFont="1" applyBorder="1" applyAlignment="1">
      <alignment horizontal="center" vertical="center" wrapText="1"/>
    </xf>
    <xf numFmtId="44" fontId="1" fillId="0" borderId="9" xfId="1" applyFont="1" applyBorder="1" applyAlignment="1">
      <alignment horizontal="center"/>
    </xf>
    <xf numFmtId="0" fontId="0" fillId="3" borderId="0" xfId="0" applyFill="1" applyAlignment="1">
      <alignment horizontal="center"/>
    </xf>
    <xf numFmtId="0" fontId="3" fillId="0" borderId="3" xfId="0" applyNumberFormat="1" applyFont="1" applyBorder="1" applyAlignment="1">
      <alignment horizontal="center" vertical="center" wrapText="1"/>
    </xf>
    <xf numFmtId="0" fontId="0" fillId="0" borderId="3" xfId="0" applyBorder="1" applyAlignment="1">
      <alignment horizontal="center"/>
    </xf>
    <xf numFmtId="0" fontId="3" fillId="0" borderId="5" xfId="0" applyNumberFormat="1" applyFont="1" applyBorder="1" applyAlignment="1">
      <alignment horizontal="center" vertical="center" wrapText="1"/>
    </xf>
    <xf numFmtId="0" fontId="0" fillId="0" borderId="5" xfId="0" applyBorder="1" applyAlignment="1">
      <alignment horizontal="center"/>
    </xf>
    <xf numFmtId="0" fontId="3" fillId="0" borderId="10" xfId="0" applyFont="1" applyBorder="1" applyAlignment="1">
      <alignment horizontal="center" vertical="center" wrapText="1"/>
    </xf>
    <xf numFmtId="0" fontId="3" fillId="0" borderId="12" xfId="0" applyFont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2" fillId="2" borderId="1" xfId="0" applyNumberFormat="1" applyFont="1" applyFill="1" applyBorder="1" applyAlignment="1">
      <alignment horizontal="center" vertical="center"/>
    </xf>
    <xf numFmtId="44" fontId="2" fillId="2" borderId="1" xfId="1" applyFont="1" applyFill="1" applyBorder="1" applyAlignment="1">
      <alignment horizontal="center" vertical="center"/>
    </xf>
    <xf numFmtId="44" fontId="0" fillId="0" borderId="3" xfId="1" applyFont="1" applyBorder="1" applyAlignment="1">
      <alignment horizontal="center" wrapText="1"/>
    </xf>
    <xf numFmtId="44" fontId="0" fillId="0" borderId="5" xfId="1" applyFont="1" applyBorder="1" applyAlignment="1">
      <alignment horizontal="center" wrapText="1"/>
    </xf>
    <xf numFmtId="0" fontId="0" fillId="0" borderId="0" xfId="0" applyFont="1" applyAlignment="1">
      <alignment horizontal="center"/>
    </xf>
    <xf numFmtId="10" fontId="0" fillId="0" borderId="0" xfId="0" applyNumberFormat="1" applyAlignment="1">
      <alignment horizontal="center"/>
    </xf>
    <xf numFmtId="0" fontId="0" fillId="0" borderId="0" xfId="0"/>
    <xf numFmtId="44" fontId="0" fillId="0" borderId="0" xfId="0" applyNumberFormat="1"/>
    <xf numFmtId="0" fontId="2" fillId="0" borderId="0" xfId="0" applyFont="1" applyAlignment="1">
      <alignment horizontal="center"/>
    </xf>
    <xf numFmtId="165" fontId="0" fillId="0" borderId="0" xfId="0" applyNumberFormat="1" applyAlignment="1">
      <alignment horizontal="center"/>
    </xf>
    <xf numFmtId="0" fontId="2" fillId="5" borderId="15" xfId="0" applyFont="1" applyFill="1" applyBorder="1" applyAlignment="1">
      <alignment horizontal="center"/>
    </xf>
    <xf numFmtId="164" fontId="9" fillId="6" borderId="16" xfId="3" applyFont="1" applyFill="1" applyBorder="1" applyAlignment="1">
      <alignment horizontal="center" vertical="center" wrapText="1"/>
    </xf>
    <xf numFmtId="0" fontId="10" fillId="0" borderId="0" xfId="4" applyAlignment="1">
      <alignment horizontal="center"/>
    </xf>
    <xf numFmtId="166" fontId="10" fillId="0" borderId="0" xfId="5" applyBorder="1" applyAlignment="1">
      <alignment horizontal="center"/>
    </xf>
    <xf numFmtId="0" fontId="10" fillId="0" borderId="0" xfId="5" applyNumberForma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2" borderId="17" xfId="0" applyFill="1" applyBorder="1" applyAlignment="1">
      <alignment horizontal="center"/>
    </xf>
    <xf numFmtId="0" fontId="14" fillId="2" borderId="17" xfId="0" applyFont="1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0" borderId="18" xfId="0" applyBorder="1" applyAlignment="1">
      <alignment horizontal="center"/>
    </xf>
    <xf numFmtId="167" fontId="0" fillId="0" borderId="18" xfId="0" applyNumberFormat="1" applyBorder="1" applyAlignment="1">
      <alignment horizontal="center"/>
    </xf>
    <xf numFmtId="0" fontId="0" fillId="0" borderId="19" xfId="0" applyBorder="1" applyAlignment="1">
      <alignment horizontal="center"/>
    </xf>
    <xf numFmtId="167" fontId="0" fillId="0" borderId="19" xfId="0" applyNumberFormat="1" applyBorder="1" applyAlignment="1">
      <alignment horizontal="center"/>
    </xf>
    <xf numFmtId="0" fontId="0" fillId="0" borderId="20" xfId="0" applyBorder="1" applyAlignment="1">
      <alignment horizontal="center"/>
    </xf>
    <xf numFmtId="0" fontId="2" fillId="0" borderId="20" xfId="0" applyFont="1" applyBorder="1" applyAlignment="1">
      <alignment horizontal="center"/>
    </xf>
    <xf numFmtId="167" fontId="0" fillId="0" borderId="0" xfId="0" applyNumberFormat="1" applyAlignment="1">
      <alignment horizontal="center"/>
    </xf>
    <xf numFmtId="0" fontId="0" fillId="0" borderId="21" xfId="0" applyBorder="1" applyAlignment="1">
      <alignment horizontal="center"/>
    </xf>
    <xf numFmtId="167" fontId="0" fillId="0" borderId="21" xfId="0" applyNumberFormat="1" applyBorder="1" applyAlignment="1">
      <alignment horizontal="center"/>
    </xf>
    <xf numFmtId="0" fontId="0" fillId="0" borderId="22" xfId="0" applyBorder="1" applyAlignment="1">
      <alignment horizontal="center"/>
    </xf>
    <xf numFmtId="167" fontId="0" fillId="0" borderId="22" xfId="0" applyNumberFormat="1" applyBorder="1" applyAlignment="1">
      <alignment horizontal="center"/>
    </xf>
    <xf numFmtId="0" fontId="2" fillId="11" borderId="19" xfId="0" applyFont="1" applyFill="1" applyBorder="1" applyAlignment="1">
      <alignment horizontal="center"/>
    </xf>
    <xf numFmtId="167" fontId="0" fillId="11" borderId="19" xfId="0" applyNumberFormat="1" applyFill="1" applyBorder="1" applyAlignment="1">
      <alignment horizontal="center"/>
    </xf>
    <xf numFmtId="0" fontId="2" fillId="7" borderId="19" xfId="0" applyFont="1" applyFill="1" applyBorder="1" applyAlignment="1">
      <alignment horizontal="center"/>
    </xf>
    <xf numFmtId="167" fontId="0" fillId="7" borderId="19" xfId="0" applyNumberFormat="1" applyFill="1" applyBorder="1" applyAlignment="1">
      <alignment horizontal="center"/>
    </xf>
    <xf numFmtId="0" fontId="2" fillId="12" borderId="23" xfId="0" applyFont="1" applyFill="1" applyBorder="1" applyAlignment="1">
      <alignment horizontal="center"/>
    </xf>
    <xf numFmtId="167" fontId="2" fillId="12" borderId="23" xfId="0" applyNumberFormat="1" applyFont="1" applyFill="1" applyBorder="1" applyAlignment="1">
      <alignment horizontal="center"/>
    </xf>
    <xf numFmtId="0" fontId="2" fillId="11" borderId="22" xfId="0" applyFont="1" applyFill="1" applyBorder="1" applyAlignment="1">
      <alignment horizontal="center"/>
    </xf>
    <xf numFmtId="167" fontId="2" fillId="11" borderId="22" xfId="0" applyNumberFormat="1" applyFont="1" applyFill="1" applyBorder="1" applyAlignment="1">
      <alignment horizontal="center"/>
    </xf>
    <xf numFmtId="0" fontId="2" fillId="7" borderId="22" xfId="0" applyFont="1" applyFill="1" applyBorder="1" applyAlignment="1">
      <alignment horizontal="center"/>
    </xf>
    <xf numFmtId="167" fontId="2" fillId="7" borderId="22" xfId="0" applyNumberFormat="1" applyFont="1" applyFill="1" applyBorder="1" applyAlignment="1">
      <alignment horizontal="center"/>
    </xf>
    <xf numFmtId="0" fontId="2" fillId="13" borderId="24" xfId="0" applyFont="1" applyFill="1" applyBorder="1" applyAlignment="1">
      <alignment horizontal="center"/>
    </xf>
    <xf numFmtId="167" fontId="2" fillId="13" borderId="24" xfId="0" applyNumberFormat="1" applyFont="1" applyFill="1" applyBorder="1" applyAlignment="1">
      <alignment horizontal="center"/>
    </xf>
    <xf numFmtId="0" fontId="0" fillId="0" borderId="0" xfId="0" applyFill="1"/>
    <xf numFmtId="165" fontId="0" fillId="0" borderId="0" xfId="0" applyNumberFormat="1" applyFill="1" applyAlignment="1">
      <alignment horizontal="center"/>
    </xf>
    <xf numFmtId="165" fontId="0" fillId="0" borderId="0" xfId="0" applyNumberFormat="1" applyFill="1" applyAlignment="1">
      <alignment horizontal="left"/>
    </xf>
    <xf numFmtId="0" fontId="0" fillId="0" borderId="0" xfId="0" applyFill="1" applyAlignment="1">
      <alignment horizontal="center"/>
    </xf>
    <xf numFmtId="49" fontId="0" fillId="0" borderId="0" xfId="0" applyNumberFormat="1" applyFill="1" applyAlignment="1">
      <alignment horizontal="center"/>
    </xf>
    <xf numFmtId="165" fontId="0" fillId="0" borderId="0" xfId="1" applyNumberFormat="1" applyFont="1" applyFill="1" applyAlignment="1">
      <alignment horizontal="center"/>
    </xf>
    <xf numFmtId="165" fontId="8" fillId="0" borderId="0" xfId="0" applyNumberFormat="1" applyFont="1" applyFill="1" applyAlignment="1">
      <alignment horizontal="center"/>
    </xf>
    <xf numFmtId="0" fontId="7" fillId="0" borderId="0" xfId="0" applyFont="1" applyFill="1" applyAlignment="1">
      <alignment horizontal="center"/>
    </xf>
    <xf numFmtId="2" fontId="0" fillId="0" borderId="0" xfId="1" applyNumberFormat="1" applyFont="1" applyBorder="1" applyAlignment="1">
      <alignment horizontal="center"/>
    </xf>
    <xf numFmtId="0" fontId="13" fillId="0" borderId="17" xfId="0" pivotButton="1" applyFont="1" applyBorder="1" applyAlignment="1">
      <alignment horizontal="center"/>
    </xf>
    <xf numFmtId="0" fontId="2" fillId="0" borderId="20" xfId="0" pivotButton="1" applyFont="1" applyBorder="1" applyAlignment="1">
      <alignment horizontal="center"/>
    </xf>
    <xf numFmtId="0" fontId="13" fillId="0" borderId="20" xfId="0" pivotButton="1" applyFont="1" applyBorder="1" applyAlignment="1">
      <alignment horizontal="center"/>
    </xf>
    <xf numFmtId="167" fontId="0" fillId="0" borderId="0" xfId="0" applyNumberFormat="1" applyBorder="1" applyAlignment="1">
      <alignment horizontal="center"/>
    </xf>
    <xf numFmtId="0" fontId="16" fillId="2" borderId="0" xfId="0" applyFont="1" applyFill="1" applyAlignment="1">
      <alignment horizontal="center"/>
    </xf>
    <xf numFmtId="0" fontId="2" fillId="0" borderId="0" xfId="0" applyFont="1" applyAlignment="1">
      <alignment horizontal="center"/>
    </xf>
    <xf numFmtId="0" fontId="8" fillId="0" borderId="11" xfId="0" applyFont="1" applyBorder="1" applyAlignment="1">
      <alignment horizontal="center" wrapText="1"/>
    </xf>
    <xf numFmtId="0" fontId="8" fillId="0" borderId="13" xfId="0" applyFont="1" applyBorder="1" applyAlignment="1">
      <alignment horizontal="center" wrapText="1"/>
    </xf>
    <xf numFmtId="44" fontId="8" fillId="0" borderId="5" xfId="1" applyFont="1" applyBorder="1" applyAlignment="1">
      <alignment horizontal="center" wrapText="1"/>
    </xf>
    <xf numFmtId="0" fontId="17" fillId="0" borderId="0" xfId="0" applyFont="1"/>
    <xf numFmtId="0" fontId="17" fillId="0" borderId="0" xfId="0" applyFont="1" applyAlignment="1">
      <alignment horizontal="center"/>
    </xf>
    <xf numFmtId="168" fontId="0" fillId="0" borderId="0" xfId="1" applyNumberFormat="1" applyFont="1" applyBorder="1" applyAlignment="1">
      <alignment horizontal="center"/>
    </xf>
    <xf numFmtId="0" fontId="17" fillId="0" borderId="0" xfId="0" applyFont="1" applyFill="1"/>
    <xf numFmtId="0" fontId="17" fillId="0" borderId="0" xfId="0" applyFont="1" applyFill="1" applyAlignment="1">
      <alignment horizontal="center"/>
    </xf>
    <xf numFmtId="0" fontId="2" fillId="0" borderId="0" xfId="0" applyFont="1" applyAlignment="1">
      <alignment horizontal="center"/>
    </xf>
    <xf numFmtId="0" fontId="2" fillId="5" borderId="0" xfId="0" applyFont="1" applyFill="1" applyAlignment="1">
      <alignment horizontal="center"/>
    </xf>
    <xf numFmtId="0" fontId="18" fillId="0" borderId="0" xfId="0" applyFont="1" applyAlignment="1">
      <alignment horizontal="center"/>
    </xf>
    <xf numFmtId="165" fontId="0" fillId="0" borderId="21" xfId="0" applyNumberFormat="1" applyBorder="1" applyAlignment="1">
      <alignment horizontal="center"/>
    </xf>
    <xf numFmtId="165" fontId="0" fillId="0" borderId="22" xfId="0" applyNumberFormat="1" applyBorder="1" applyAlignment="1">
      <alignment horizontal="center"/>
    </xf>
    <xf numFmtId="0" fontId="0" fillId="0" borderId="24" xfId="0" applyBorder="1" applyAlignment="1">
      <alignment horizontal="center"/>
    </xf>
    <xf numFmtId="2" fontId="17" fillId="0" borderId="21" xfId="1" applyNumberFormat="1" applyFont="1" applyBorder="1" applyAlignment="1">
      <alignment horizontal="right" indent="2"/>
    </xf>
    <xf numFmtId="2" fontId="17" fillId="0" borderId="22" xfId="1" applyNumberFormat="1" applyFont="1" applyBorder="1" applyAlignment="1">
      <alignment horizontal="right" indent="2"/>
    </xf>
    <xf numFmtId="2" fontId="17" fillId="0" borderId="24" xfId="1" applyNumberFormat="1" applyFont="1" applyBorder="1" applyAlignment="1">
      <alignment horizontal="right" indent="2"/>
    </xf>
    <xf numFmtId="0" fontId="0" fillId="0" borderId="0" xfId="0" applyBorder="1" applyAlignment="1">
      <alignment horizontal="center"/>
    </xf>
    <xf numFmtId="0" fontId="3" fillId="0" borderId="26" xfId="0" applyFont="1" applyBorder="1" applyAlignment="1">
      <alignment horizontal="center" vertical="center" wrapText="1"/>
    </xf>
    <xf numFmtId="0" fontId="3" fillId="0" borderId="27" xfId="0" applyNumberFormat="1" applyFont="1" applyBorder="1" applyAlignment="1">
      <alignment horizontal="center" vertical="center" wrapText="1"/>
    </xf>
    <xf numFmtId="0" fontId="0" fillId="0" borderId="27" xfId="0" applyFont="1" applyBorder="1" applyAlignment="1">
      <alignment horizontal="center"/>
    </xf>
    <xf numFmtId="0" fontId="0" fillId="0" borderId="25" xfId="0" applyBorder="1" applyAlignment="1">
      <alignment horizontal="center"/>
    </xf>
    <xf numFmtId="44" fontId="0" fillId="0" borderId="27" xfId="1" applyFont="1" applyBorder="1" applyAlignment="1">
      <alignment horizontal="center" wrapText="1"/>
    </xf>
    <xf numFmtId="44" fontId="8" fillId="0" borderId="27" xfId="1" applyFont="1" applyBorder="1" applyAlignment="1">
      <alignment horizontal="center" wrapText="1"/>
    </xf>
    <xf numFmtId="0" fontId="8" fillId="0" borderId="28" xfId="0" applyFont="1" applyBorder="1" applyAlignment="1">
      <alignment horizontal="center" wrapText="1"/>
    </xf>
    <xf numFmtId="0" fontId="0" fillId="0" borderId="29" xfId="0" applyBorder="1" applyAlignment="1">
      <alignment horizontal="left"/>
    </xf>
    <xf numFmtId="0" fontId="0" fillId="0" borderId="29" xfId="0" applyBorder="1" applyAlignment="1">
      <alignment horizontal="center"/>
    </xf>
    <xf numFmtId="0" fontId="0" fillId="17" borderId="29" xfId="0" applyNumberFormat="1" applyFill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2" borderId="0" xfId="0" applyFont="1" applyFill="1" applyAlignment="1">
      <alignment horizontal="center"/>
    </xf>
    <xf numFmtId="9" fontId="0" fillId="0" borderId="5" xfId="6" applyFont="1" applyBorder="1" applyAlignment="1">
      <alignment horizontal="center"/>
    </xf>
    <xf numFmtId="9" fontId="0" fillId="0" borderId="0" xfId="6" applyFont="1" applyBorder="1" applyAlignment="1">
      <alignment horizontal="center"/>
    </xf>
    <xf numFmtId="0" fontId="20" fillId="5" borderId="15" xfId="0" applyFont="1" applyFill="1" applyBorder="1" applyAlignment="1">
      <alignment horizontal="center"/>
    </xf>
    <xf numFmtId="0" fontId="21" fillId="0" borderId="0" xfId="0" applyFont="1" applyAlignment="1">
      <alignment horizontal="left"/>
    </xf>
    <xf numFmtId="0" fontId="2" fillId="18" borderId="0" xfId="0" applyFont="1" applyFill="1" applyAlignment="1">
      <alignment horizontal="center"/>
    </xf>
    <xf numFmtId="0" fontId="2" fillId="6" borderId="0" xfId="0" applyNumberFormat="1" applyFont="1" applyFill="1" applyAlignment="1">
      <alignment horizontal="center"/>
    </xf>
    <xf numFmtId="165" fontId="0" fillId="0" borderId="22" xfId="0" applyNumberFormat="1" applyBorder="1" applyAlignment="1">
      <alignment horizontal="left"/>
    </xf>
    <xf numFmtId="0" fontId="0" fillId="0" borderId="24" xfId="0" applyBorder="1" applyAlignment="1">
      <alignment horizontal="left"/>
    </xf>
    <xf numFmtId="165" fontId="0" fillId="0" borderId="30" xfId="0" applyNumberFormat="1" applyBorder="1" applyAlignment="1">
      <alignment horizontal="left"/>
    </xf>
    <xf numFmtId="2" fontId="17" fillId="0" borderId="30" xfId="1" applyNumberFormat="1" applyFont="1" applyBorder="1" applyAlignment="1">
      <alignment horizontal="right" indent="2"/>
    </xf>
    <xf numFmtId="0" fontId="2" fillId="2" borderId="17" xfId="0" applyFont="1" applyFill="1" applyBorder="1" applyAlignment="1">
      <alignment horizontal="center"/>
    </xf>
    <xf numFmtId="0" fontId="0" fillId="0" borderId="25" xfId="0" applyBorder="1"/>
    <xf numFmtId="165" fontId="0" fillId="19" borderId="0" xfId="0" applyNumberFormat="1" applyFill="1" applyAlignment="1">
      <alignment horizontal="center"/>
    </xf>
    <xf numFmtId="44" fontId="1" fillId="0" borderId="31" xfId="1" applyFont="1" applyBorder="1" applyAlignment="1">
      <alignment horizontal="center"/>
    </xf>
    <xf numFmtId="0" fontId="3" fillId="19" borderId="4" xfId="0" applyNumberFormat="1" applyFont="1" applyFill="1" applyBorder="1" applyAlignment="1">
      <alignment horizontal="center" vertical="center" wrapText="1"/>
    </xf>
    <xf numFmtId="0" fontId="3" fillId="19" borderId="29" xfId="0" applyFont="1" applyFill="1" applyBorder="1" applyAlignment="1">
      <alignment horizontal="left" vertical="center" wrapText="1"/>
    </xf>
    <xf numFmtId="0" fontId="0" fillId="19" borderId="5" xfId="0" applyFont="1" applyFill="1" applyBorder="1" applyAlignment="1">
      <alignment horizontal="center"/>
    </xf>
    <xf numFmtId="0" fontId="3" fillId="19" borderId="31" xfId="0" applyFont="1" applyFill="1" applyBorder="1" applyAlignment="1">
      <alignment horizontal="center" vertical="center" wrapText="1"/>
    </xf>
    <xf numFmtId="44" fontId="4" fillId="19" borderId="5" xfId="1" applyFont="1" applyFill="1" applyBorder="1" applyAlignment="1">
      <alignment horizontal="center" vertical="center" wrapText="1"/>
    </xf>
    <xf numFmtId="0" fontId="0" fillId="19" borderId="7" xfId="0" applyFont="1" applyFill="1" applyBorder="1" applyAlignment="1">
      <alignment horizontal="center"/>
    </xf>
    <xf numFmtId="0" fontId="3" fillId="19" borderId="29" xfId="0" applyFont="1" applyFill="1" applyBorder="1" applyAlignment="1">
      <alignment horizontal="center" vertical="center" wrapText="1"/>
    </xf>
    <xf numFmtId="44" fontId="3" fillId="19" borderId="5" xfId="1" applyFont="1" applyFill="1" applyBorder="1" applyAlignment="1">
      <alignment horizontal="center" vertical="center" wrapText="1"/>
    </xf>
    <xf numFmtId="165" fontId="22" fillId="19" borderId="0" xfId="0" applyNumberFormat="1" applyFont="1" applyFill="1" applyAlignment="1">
      <alignment horizontal="center"/>
    </xf>
    <xf numFmtId="165" fontId="22" fillId="19" borderId="0" xfId="0" applyNumberFormat="1" applyFont="1" applyFill="1" applyAlignment="1">
      <alignment horizontal="left"/>
    </xf>
    <xf numFmtId="0" fontId="6" fillId="4" borderId="14" xfId="0" applyFont="1" applyFill="1" applyBorder="1" applyAlignment="1">
      <alignment horizontal="center"/>
    </xf>
    <xf numFmtId="0" fontId="2" fillId="14" borderId="20" xfId="0" applyFont="1" applyFill="1" applyBorder="1" applyAlignment="1">
      <alignment horizontal="center"/>
    </xf>
    <xf numFmtId="0" fontId="2" fillId="16" borderId="20" xfId="0" applyFont="1" applyFill="1" applyBorder="1" applyAlignment="1">
      <alignment horizontal="center"/>
    </xf>
    <xf numFmtId="0" fontId="6" fillId="8" borderId="14" xfId="0" applyFont="1" applyFill="1" applyBorder="1" applyAlignment="1">
      <alignment horizontal="center"/>
    </xf>
    <xf numFmtId="0" fontId="15" fillId="10" borderId="14" xfId="0" applyFont="1" applyFill="1" applyBorder="1" applyAlignment="1">
      <alignment horizontal="center"/>
    </xf>
    <xf numFmtId="0" fontId="6" fillId="9" borderId="25" xfId="0" applyFont="1" applyFill="1" applyBorder="1" applyAlignment="1">
      <alignment horizontal="center"/>
    </xf>
    <xf numFmtId="0" fontId="6" fillId="15" borderId="25" xfId="0" applyFont="1" applyFill="1" applyBorder="1" applyAlignment="1">
      <alignment horizontal="center"/>
    </xf>
    <xf numFmtId="44" fontId="19" fillId="0" borderId="0" xfId="0" applyNumberFormat="1" applyFont="1" applyAlignment="1">
      <alignment horizontal="center"/>
    </xf>
    <xf numFmtId="0" fontId="19" fillId="0" borderId="0" xfId="0" applyFont="1" applyAlignment="1">
      <alignment horizontal="center"/>
    </xf>
    <xf numFmtId="0" fontId="2" fillId="0" borderId="0" xfId="0" applyNumberFormat="1" applyFont="1" applyAlignment="1">
      <alignment horizontal="center"/>
    </xf>
    <xf numFmtId="0" fontId="2" fillId="16" borderId="25" xfId="0" applyFont="1" applyFill="1" applyBorder="1" applyAlignment="1">
      <alignment horizontal="center"/>
    </xf>
    <xf numFmtId="9" fontId="19" fillId="0" borderId="13" xfId="6" applyFont="1" applyBorder="1" applyAlignment="1">
      <alignment horizontal="center"/>
    </xf>
    <xf numFmtId="9" fontId="19" fillId="0" borderId="12" xfId="6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2" borderId="17" xfId="0" applyFont="1" applyFill="1" applyBorder="1" applyAlignment="1">
      <alignment horizontal="center"/>
    </xf>
  </cellXfs>
  <cellStyles count="7">
    <cellStyle name="Moeda" xfId="1" builtinId="4"/>
    <cellStyle name="Moeda 10" xfId="3" xr:uid="{93FE0D8C-F047-4E0F-9A49-CAD8AFA900CF}"/>
    <cellStyle name="Moeda 5" xfId="5" xr:uid="{85B61198-A889-4067-B357-892AD2413F4F}"/>
    <cellStyle name="Normal" xfId="0" builtinId="0"/>
    <cellStyle name="Normal 5" xfId="4" xr:uid="{C1206C3F-48A9-4F5D-BEE1-393C6CA1B3A0}"/>
    <cellStyle name="Porcentagem" xfId="6" builtinId="5"/>
    <cellStyle name="Vírgula 2" xfId="2" xr:uid="{85C65AC4-2471-41B9-B432-6CDBD32FB640}"/>
  </cellStyles>
  <dxfs count="310">
    <dxf>
      <numFmt numFmtId="34" formatCode="_-&quot;R$&quot;\ * #,##0.00_-;\-&quot;R$&quot;\ * #,##0.00_-;_-&quot;R$&quot;\ * &quot;-&quot;??_-;_-@_-"/>
    </dxf>
    <dxf>
      <alignment horizontal="center"/>
    </dxf>
    <dxf>
      <alignment horizontal="center"/>
    </dxf>
    <dxf>
      <alignment horizontal="center"/>
    </dxf>
    <dxf>
      <numFmt numFmtId="34" formatCode="_-&quot;R$&quot;\ * #,##0.00_-;\-&quot;R$&quot;\ * #,##0.00_-;_-&quot;R$&quot;\ 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34" formatCode="_-&quot;R$&quot;\ * #,##0.00_-;\-&quot;R$&quot;\ * #,##0.00_-;_-&quot;R$&quot;\ * &quot;-&quot;??_-;_-@_-"/>
    </dxf>
    <dxf>
      <alignment horizontal="center"/>
    </dxf>
    <dxf>
      <alignment horizontal="center"/>
    </dxf>
    <dxf>
      <alignment horizontal="center"/>
    </dxf>
    <dxf>
      <numFmt numFmtId="34" formatCode="_-&quot;R$&quot;\ * #,##0.00_-;\-&quot;R$&quot;\ * #,##0.00_-;_-&quot;R$&quot;\ * &quot;-&quot;??_-;_-@_-"/>
    </dxf>
    <dxf>
      <font>
        <b/>
      </font>
    </dxf>
    <dxf>
      <font>
        <color theme="5" tint="-0.249977111117893"/>
      </font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6" tint="0.59999389629810485"/>
        </patternFill>
      </fill>
    </dxf>
    <dxf>
      <fill>
        <patternFill patternType="solid">
          <bgColor theme="6" tint="0.79998168889431442"/>
        </patternFill>
      </fill>
    </dxf>
    <dxf>
      <font>
        <color theme="0" tint="-0.14999847407452621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/>
    </dxf>
    <dxf>
      <alignment horizontal="center"/>
    </dxf>
    <dxf>
      <fill>
        <patternFill>
          <bgColor theme="2" tint="-0.249977111117893"/>
        </patternFill>
      </fill>
    </dxf>
    <dxf>
      <fill>
        <patternFill>
          <bgColor theme="2" tint="-0.249977111117893"/>
        </patternFill>
      </fill>
    </dxf>
    <dxf>
      <border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bottom style="thin">
          <color indexed="64"/>
        </bottom>
      </border>
    </dxf>
    <dxf>
      <fill>
        <patternFill>
          <bgColor theme="2" tint="-9.9978637043366805E-2"/>
        </patternFill>
      </fill>
    </dxf>
    <dxf>
      <font>
        <b/>
      </font>
    </dxf>
    <dxf>
      <font>
        <color theme="0" tint="-0.14999847407452621"/>
      </font>
    </dxf>
    <dxf>
      <numFmt numFmtId="167" formatCode="&quot;R$&quot;#,##0.00"/>
    </dxf>
    <dxf>
      <numFmt numFmtId="167" formatCode="&quot;R$&quot;#,##0.00"/>
    </dxf>
    <dxf>
      <numFmt numFmtId="167" formatCode="&quot;R$&quot;#,##0.00"/>
    </dxf>
    <dxf>
      <border>
        <top style="thin">
          <color auto="1"/>
        </top>
      </border>
    </dxf>
    <dxf>
      <border>
        <top style="thin">
          <color auto="1"/>
        </top>
        <bottom style="thin">
          <color auto="1"/>
        </bottom>
        <horizontal style="hair">
          <color auto="1"/>
        </horizontal>
      </border>
    </dxf>
    <dxf>
      <border>
        <top style="thin">
          <color auto="1"/>
        </top>
        <bottom style="thin">
          <color auto="1"/>
        </bottom>
        <horizontal style="hair">
          <color auto="1"/>
        </horizontal>
      </border>
    </dxf>
    <dxf>
      <font>
        <b/>
      </font>
      <fill>
        <patternFill patternType="solid">
          <fgColor indexed="64"/>
          <bgColor rgb="FFE7E6E6"/>
        </patternFill>
      </fill>
    </dxf>
    <dxf>
      <font>
        <b/>
      </font>
      <fill>
        <patternFill patternType="solid">
          <fgColor indexed="64"/>
          <bgColor rgb="FFE7E6E6"/>
        </patternFill>
      </fill>
    </dxf>
    <dxf>
      <numFmt numFmtId="167" formatCode="&quot;R$&quot;#,##0.00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alignment horizontal="right"/>
    </dxf>
    <dxf>
      <alignment horizontal="right"/>
    </dxf>
    <dxf>
      <alignment horizontal="right"/>
    </dxf>
    <dxf>
      <font>
        <b/>
      </font>
    </dxf>
    <dxf>
      <font>
        <b/>
      </font>
    </dxf>
    <dxf>
      <font>
        <b/>
      </font>
    </dxf>
    <dxf>
      <font>
        <b/>
      </font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/>
        <bottom/>
      </border>
    </dxf>
    <dxf>
      <border>
        <top/>
        <bottom/>
      </border>
    </dxf>
    <dxf>
      <font>
        <color theme="6" tint="0.59999389629810485"/>
      </font>
    </dxf>
    <dxf>
      <fill>
        <patternFill>
          <bgColor theme="6" tint="0.59999389629810485"/>
        </patternFill>
      </fill>
    </dxf>
    <dxf>
      <fill>
        <patternFill>
          <bgColor theme="6" tint="0.59999389629810485"/>
        </patternFill>
      </fill>
    </dxf>
    <dxf>
      <fill>
        <patternFill>
          <bgColor theme="6" tint="0.59999389629810485"/>
        </patternFill>
      </fill>
    </dxf>
    <dxf>
      <fill>
        <patternFill>
          <bgColor theme="6" tint="0.59999389629810485"/>
        </patternFill>
      </fill>
    </dxf>
    <dxf>
      <fill>
        <patternFill>
          <bgColor theme="6" tint="0.59999389629810485"/>
        </patternFill>
      </fill>
    </dxf>
    <dxf>
      <fill>
        <patternFill>
          <bgColor theme="6" tint="0.59999389629810485"/>
        </patternFill>
      </fill>
    </dxf>
    <dxf>
      <fill>
        <patternFill patternType="solid">
          <bgColor theme="2" tint="-9.9978637043366805E-2"/>
        </patternFill>
      </fill>
    </dxf>
    <dxf>
      <fill>
        <patternFill patternType="solid">
          <bgColor theme="2" tint="-9.9978637043366805E-2"/>
        </patternFill>
      </fill>
    </dxf>
    <dxf>
      <fill>
        <patternFill patternType="solid">
          <bgColor theme="2" tint="-9.9978637043366805E-2"/>
        </patternFill>
      </fill>
    </dxf>
    <dxf>
      <fill>
        <patternFill patternType="solid">
          <bgColor theme="2" tint="-9.9978637043366805E-2"/>
        </patternFill>
      </fill>
    </dxf>
    <dxf>
      <fill>
        <patternFill patternType="solid">
          <bgColor theme="2" tint="-9.9978637043366805E-2"/>
        </patternFill>
      </fill>
    </dxf>
    <dxf>
      <fill>
        <patternFill patternType="solid">
          <bgColor theme="2" tint="-9.9978637043366805E-2"/>
        </patternFill>
      </fill>
    </dxf>
    <dxf>
      <font>
        <color theme="2"/>
      </font>
    </dxf>
    <dxf>
      <fill>
        <patternFill>
          <bgColor theme="2"/>
        </patternFill>
      </fill>
    </dxf>
    <dxf>
      <fill>
        <patternFill patternType="solid">
          <bgColor theme="2" tint="-9.9978637043366805E-2"/>
        </patternFill>
      </fill>
    </dxf>
    <dxf>
      <fill>
        <patternFill>
          <bgColor theme="2" tint="-9.9978637043366805E-2"/>
        </patternFill>
      </fill>
    </dxf>
    <dxf>
      <fill>
        <patternFill>
          <bgColor theme="2" tint="-9.9978637043366805E-2"/>
        </patternFill>
      </fill>
    </dxf>
    <dxf>
      <font>
        <b/>
      </font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  <bottom style="thin">
          <color auto="1"/>
        </bottom>
        <horizontal style="dashed">
          <color auto="1"/>
        </horizontal>
      </border>
    </dxf>
    <dxf>
      <border>
        <top style="thin">
          <color auto="1"/>
        </top>
        <bottom style="thin">
          <color auto="1"/>
        </bottom>
        <horizontal style="dashed">
          <color auto="1"/>
        </horizontal>
      </border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ill>
        <patternFill patternType="solid">
          <fgColor indexed="64"/>
          <bgColor rgb="FFBFBFBF"/>
        </patternFill>
      </fill>
    </dxf>
    <dxf>
      <fill>
        <patternFill patternType="solid">
          <fgColor indexed="64"/>
          <bgColor rgb="FFBFBFBF"/>
        </patternFill>
      </fill>
    </dxf>
    <dxf>
      <fill>
        <patternFill patternType="solid">
          <fgColor indexed="64"/>
          <bgColor rgb="FFE7E6E6"/>
        </patternFill>
      </fill>
    </dxf>
    <dxf>
      <fill>
        <patternFill patternType="solid">
          <fgColor indexed="64"/>
          <bgColor rgb="FFE7E6E6"/>
        </patternFill>
      </fill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alignment horizontal="right"/>
    </dxf>
    <dxf>
      <alignment horizontal="right"/>
    </dxf>
    <dxf>
      <alignment horizontal="right"/>
    </dxf>
    <dxf>
      <font>
        <b/>
      </font>
    </dxf>
    <dxf>
      <font>
        <b/>
      </font>
    </dxf>
    <dxf>
      <font>
        <b/>
      </font>
    </dxf>
    <dxf>
      <font>
        <b/>
      </font>
    </dxf>
    <dxf>
      <numFmt numFmtId="167" formatCode="&quot;R$&quot;#,##0.00"/>
    </dxf>
    <dxf>
      <font>
        <b/>
      </font>
    </dxf>
    <dxf>
      <font>
        <b/>
      </font>
    </dxf>
    <dxf>
      <font>
        <b/>
      </font>
    </dxf>
    <dxf>
      <fill>
        <patternFill>
          <bgColor theme="0"/>
        </patternFill>
      </fill>
    </dxf>
    <dxf>
      <font>
        <b/>
      </font>
    </dxf>
    <dxf>
      <font>
        <b/>
      </font>
    </dxf>
    <dxf>
      <font>
        <b/>
      </font>
    </dxf>
    <dxf>
      <font>
        <i/>
      </font>
    </dxf>
    <dxf>
      <font>
        <b/>
      </font>
    </dxf>
    <dxf>
      <font>
        <b/>
      </font>
    </dxf>
    <dxf>
      <font>
        <b/>
      </font>
    </dxf>
    <dxf>
      <fill>
        <patternFill patternType="solid">
          <bgColor theme="2"/>
        </patternFill>
      </fill>
    </dxf>
    <dxf>
      <fill>
        <patternFill patternType="solid">
          <fgColor indexed="64"/>
          <bgColor theme="6" tint="0.59999389629810485"/>
        </patternFill>
      </fill>
      <alignment horizontal="center"/>
    </dxf>
    <dxf>
      <fill>
        <patternFill patternType="solid">
          <fgColor indexed="64"/>
          <bgColor theme="6" tint="0.59999389629810485"/>
        </patternFill>
      </fill>
      <alignment horizontal="center"/>
    </dxf>
    <dxf>
      <fill>
        <patternFill patternType="solid">
          <fgColor indexed="64"/>
          <bgColor theme="6" tint="0.59999389629810485"/>
        </patternFill>
      </fill>
      <alignment horizontal="center"/>
    </dxf>
    <dxf>
      <fill>
        <patternFill patternType="solid">
          <fgColor indexed="64"/>
          <bgColor theme="6" tint="0.59999389629810485"/>
        </patternFill>
      </fill>
      <alignment horizontal="center"/>
    </dxf>
    <dxf>
      <fill>
        <patternFill patternType="solid">
          <fgColor indexed="64"/>
          <bgColor theme="6" tint="0.59999389629810485"/>
        </patternFill>
      </fill>
      <alignment horizontal="center"/>
    </dxf>
    <dxf>
      <fill>
        <patternFill patternType="solid">
          <fgColor indexed="64"/>
          <bgColor theme="6" tint="0.59999389629810485"/>
        </patternFill>
      </fill>
      <alignment horizontal="center"/>
    </dxf>
    <dxf>
      <fill>
        <patternFill patternType="solid">
          <fgColor indexed="64"/>
          <bgColor theme="6" tint="0.59999389629810485"/>
        </patternFill>
      </fill>
      <alignment horizontal="center"/>
    </dxf>
    <dxf>
      <font>
        <color theme="5"/>
      </font>
    </dxf>
    <dxf>
      <font>
        <b/>
      </font>
    </dxf>
    <dxf>
      <font>
        <color theme="2" tint="-0.249977111117893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alignment horizontal="center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  <border>
        <horizontal style="hair">
          <color auto="1"/>
        </horizontal>
      </border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  <border>
        <top style="hair">
          <color auto="1"/>
        </top>
        <bottom style="hair">
          <color auto="1"/>
        </bottom>
        <horizontal style="hair">
          <color auto="1"/>
        </horizontal>
      </border>
    </dxf>
    <dxf>
      <fill>
        <patternFill>
          <bgColor theme="2"/>
        </patternFill>
      </fill>
      <border>
        <top style="thin">
          <color auto="1"/>
        </top>
        <bottom style="thin">
          <color auto="1"/>
        </bottom>
      </border>
    </dxf>
    <dxf>
      <fill>
        <patternFill>
          <bgColor theme="2"/>
        </patternFill>
      </fill>
      <border>
        <top style="thin">
          <color auto="1"/>
        </top>
        <bottom style="thin">
          <color auto="1"/>
        </bottom>
      </border>
    </dxf>
    <dxf>
      <fill>
        <patternFill patternType="none">
          <bgColor auto="1"/>
        </patternFill>
      </fill>
    </dxf>
  </dxfs>
  <tableStyles count="1" defaultTableStyle="TableStyleMedium2" defaultPivotStyle="PivotStyleLight16">
    <tableStyle name="Estilo de Tabela Dinâmica 1" table="0" count="8" xr9:uid="{03442604-EF17-434D-9384-18B55902E708}">
      <tableStyleElement type="wholeTable" dxfId="309"/>
      <tableStyleElement type="headerRow" dxfId="308"/>
      <tableStyleElement type="totalRow" dxfId="307"/>
      <tableStyleElement type="firstRowStripe" dxfId="306"/>
      <tableStyleElement type="secondRowStripe" dxfId="305"/>
      <tableStyleElement type="secondColumnStripe" size="9"/>
      <tableStyleElement type="blankRow" dxfId="304"/>
      <tableStyleElement type="pageFieldLabels" dxfId="30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7/relationships/slicerCache" Target="slicerCaches/slicerCache3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microsoft.com/office/2007/relationships/slicerCache" Target="slicerCaches/slicerCache2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69850</xdr:colOff>
      <xdr:row>1</xdr:row>
      <xdr:rowOff>12700</xdr:rowOff>
    </xdr:from>
    <xdr:to>
      <xdr:col>0</xdr:col>
      <xdr:colOff>609600</xdr:colOff>
      <xdr:row>2</xdr:row>
      <xdr:rowOff>101600</xdr:rowOff>
    </xdr:to>
    <xdr:sp macro="[0]!Atualizar1" textlink="">
      <xdr:nvSpPr>
        <xdr:cNvPr id="2" name="Retângulo de cantos arredondados 1">
          <a:extLst>
            <a:ext uri="{FF2B5EF4-FFF2-40B4-BE49-F238E27FC236}">
              <a16:creationId xmlns:a16="http://schemas.microsoft.com/office/drawing/2014/main" id="{48BC0BE2-DED4-4747-8FCD-68080B477DC2}"/>
            </a:ext>
          </a:extLst>
        </xdr:cNvPr>
        <xdr:cNvSpPr/>
      </xdr:nvSpPr>
      <xdr:spPr>
        <a:xfrm>
          <a:off x="69850" y="107950"/>
          <a:ext cx="539750" cy="327025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 w="0"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lIns="0" tIns="0" rIns="0" bIns="0" rtlCol="0" anchor="ctr"/>
        <a:lstStyle/>
        <a:p>
          <a:pPr algn="ctr"/>
          <a:r>
            <a:rPr lang="pt-BR" sz="1000" baseline="0">
              <a:ln w="0">
                <a:solidFill>
                  <a:schemeClr val="tx1"/>
                </a:solidFill>
                <a:prstDash val="solid"/>
              </a:ln>
            </a:rPr>
            <a:t>Atualizar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44450</xdr:colOff>
      <xdr:row>1</xdr:row>
      <xdr:rowOff>12700</xdr:rowOff>
    </xdr:from>
    <xdr:to>
      <xdr:col>0</xdr:col>
      <xdr:colOff>571500</xdr:colOff>
      <xdr:row>3</xdr:row>
      <xdr:rowOff>12700</xdr:rowOff>
    </xdr:to>
    <xdr:sp macro="[0]!Atualizar2" textlink="">
      <xdr:nvSpPr>
        <xdr:cNvPr id="2" name="Retângulo de cantos arredondados 1">
          <a:extLst>
            <a:ext uri="{FF2B5EF4-FFF2-40B4-BE49-F238E27FC236}">
              <a16:creationId xmlns:a16="http://schemas.microsoft.com/office/drawing/2014/main" id="{2C854045-29D4-419A-B191-519B78B593F8}"/>
            </a:ext>
          </a:extLst>
        </xdr:cNvPr>
        <xdr:cNvSpPr/>
      </xdr:nvSpPr>
      <xdr:spPr>
        <a:xfrm>
          <a:off x="44450" y="50800"/>
          <a:ext cx="527050" cy="333375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accent3">
              <a:shade val="50000"/>
              <a:alpha val="88000"/>
            </a:schemeClr>
          </a:solidFill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lIns="0" tIns="46800" rIns="0" rtlCol="0" anchor="ctr"/>
        <a:lstStyle/>
        <a:p>
          <a:pPr algn="ctr"/>
          <a:r>
            <a:rPr lang="pt-BR" sz="1000" b="1" i="0" baseline="0">
              <a:solidFill>
                <a:schemeClr val="tx1"/>
              </a:solidFill>
            </a:rPr>
            <a:t>Atualizar</a:t>
          </a:r>
        </a:p>
      </xdr:txBody>
    </xdr:sp>
    <xdr:clientData/>
  </xdr:twoCellAnchor>
  <xdr:twoCellAnchor editAs="oneCell">
    <xdr:from>
      <xdr:col>9</xdr:col>
      <xdr:colOff>9525</xdr:colOff>
      <xdr:row>5</xdr:row>
      <xdr:rowOff>9524</xdr:rowOff>
    </xdr:from>
    <xdr:to>
      <xdr:col>10</xdr:col>
      <xdr:colOff>152400</xdr:colOff>
      <xdr:row>22</xdr:row>
      <xdr:rowOff>180974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Proponente">
              <a:extLst>
                <a:ext uri="{FF2B5EF4-FFF2-40B4-BE49-F238E27FC236}">
                  <a16:creationId xmlns:a16="http://schemas.microsoft.com/office/drawing/2014/main" id="{DA2EB098-1ED5-4B1C-AB4C-37FDB5AD47D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ponen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286625" y="685799"/>
              <a:ext cx="2133600" cy="34575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9</xdr:col>
      <xdr:colOff>28575</xdr:colOff>
      <xdr:row>27</xdr:row>
      <xdr:rowOff>19050</xdr:rowOff>
    </xdr:from>
    <xdr:to>
      <xdr:col>10</xdr:col>
      <xdr:colOff>171450</xdr:colOff>
      <xdr:row>40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Proponente 1">
              <a:extLst>
                <a:ext uri="{FF2B5EF4-FFF2-40B4-BE49-F238E27FC236}">
                  <a16:creationId xmlns:a16="http://schemas.microsoft.com/office/drawing/2014/main" id="{44F422F3-4B90-4355-98FC-BA617486C5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ponen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305675" y="4552950"/>
              <a:ext cx="21336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431800</xdr:colOff>
      <xdr:row>3</xdr:row>
      <xdr:rowOff>6350</xdr:rowOff>
    </xdr:from>
    <xdr:to>
      <xdr:col>15</xdr:col>
      <xdr:colOff>31750</xdr:colOff>
      <xdr:row>24</xdr:row>
      <xdr:rowOff>127000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ês">
              <a:extLst>
                <a:ext uri="{FF2B5EF4-FFF2-40B4-BE49-F238E27FC236}">
                  <a16:creationId xmlns:a16="http://schemas.microsoft.com/office/drawing/2014/main" id="{5F133B22-6B72-478B-A824-A84C123868B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83800" y="374650"/>
              <a:ext cx="1098550" cy="401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Alessandra Mascarenhas de Oliveira Solano" id="{55CD8E56-6451-4DE5-B443-60BFB367C817}" userId="S::alessandra.solano@mcom.gov.br::801f6cac-d4d2-405e-b318-3e3c277b20e0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ssandra Mascarenhas de Oliveira Solano" refreshedDate="44607.665031828707" createdVersion="7" refreshedVersion="7" minRefreshableVersion="3" recordCount="168" xr:uid="{9CA3DC74-D2F3-4E07-9E81-C671EE296CAD}">
  <cacheSource type="worksheet">
    <worksheetSource ref="C13:X181" sheet="ControleGeral"/>
  </cacheSource>
  <cacheFields count="22">
    <cacheField name="Processo" numFmtId="0">
      <sharedItems containsBlank="1"/>
    </cacheField>
    <cacheField name="Proponente" numFmtId="165">
      <sharedItems containsBlank="1" count="46">
        <s v="PRF RO"/>
        <m/>
        <s v="Bancada de Alagoas"/>
        <s v="Bancada de Minas Gerais"/>
        <s v="Bancada de São Paulo"/>
        <s v="Bancada do Espírito Santo"/>
        <s v="Bancada do Maranhão"/>
        <s v="Bancada do Pará"/>
        <s v="Cabo Junio Amaral"/>
        <s v="Celso Sabino"/>
        <s v="Coronel Chrisóstomo"/>
        <s v="Dimas Fabiano"/>
        <s v="Edna Henrique"/>
        <s v="Elias Vaz"/>
        <s v="Expedito Netto"/>
        <s v="Fabio Reis"/>
        <s v="Flavia Arruda"/>
        <s v="Flaviano Melo"/>
        <s v="General Girão"/>
        <s v="João Roma"/>
        <s v="Joenia Wapichana"/>
        <s v="José Nunes"/>
        <s v="Josivaldo JP"/>
        <s v="Junior Lourenço"/>
        <s v="Leo de Brito"/>
        <s v="Leur Lomanto"/>
        <s v="Luciano Bivar"/>
        <s v="Luis Tibé"/>
        <s v="Mara Rocha"/>
        <s v="Marx Beltrão"/>
        <s v="Ministério das Comunicações"/>
        <s v="Ministério da Educação"/>
        <s v="Ministério da Justiça"/>
        <s v="Ministério do Meio Ambiente"/>
        <s v="Perpétua Almeida"/>
        <s v="Senador Confúcio Moura"/>
        <s v="Sérgio Petecão"/>
        <s v="Soraya Thronicke"/>
        <s v="Uldurico Junior"/>
        <s v="MCom"/>
        <s v="Alice Portugal" u="1"/>
        <s v="José Medeiros" u="1"/>
        <s v="Ministério da Cidadania" u="1"/>
        <s v="MCom (CD)" u="1"/>
        <s v="PRF AM" u="1"/>
        <s v="CENSIPAM" u="1"/>
      </sharedItems>
    </cacheField>
    <cacheField name="Contrato" numFmtId="165">
      <sharedItems containsBlank="1" count="3">
        <s v="GESAC"/>
        <m/>
        <s v="WifiBrasil"/>
      </sharedItems>
    </cacheField>
    <cacheField name="Nota de Empenho / NC" numFmtId="165">
      <sharedItems containsBlank="1"/>
    </cacheField>
    <cacheField name="Valor Empenhado" numFmtId="165">
      <sharedItems containsString="0" containsBlank="1" containsNumber="1" minValue="3253.19" maxValue="16863198"/>
    </cacheField>
    <cacheField name="Valor Pago" numFmtId="165">
      <sharedItems containsSemiMixedTypes="0" containsString="0" containsNumber="1" containsInteger="1" minValue="0" maxValue="0"/>
    </cacheField>
    <cacheField name="Saldo do Empenho" numFmtId="165">
      <sharedItems containsSemiMixedTypes="0" containsString="0" containsNumber="1" minValue="0" maxValue="16980781.538382418"/>
    </cacheField>
    <cacheField name="Consumo %" numFmtId="9">
      <sharedItems containsBlank="1" containsMixedTypes="1" containsNumber="1" containsInteger="1" minValue="0" maxValue="0"/>
    </cacheField>
    <cacheField name="Fim do Recurso (M)" numFmtId="0">
      <sharedItems containsBlank="1"/>
    </cacheField>
    <cacheField name="Janeiro" numFmtId="165">
      <sharedItems containsNonDate="0" containsString="0" containsBlank="1"/>
    </cacheField>
    <cacheField name="Fevereiro" numFmtId="165">
      <sharedItems containsNonDate="0" containsString="0" containsBlank="1"/>
    </cacheField>
    <cacheField name="Março" numFmtId="165">
      <sharedItems containsNonDate="0" containsString="0" containsBlank="1"/>
    </cacheField>
    <cacheField name="Abril" numFmtId="165">
      <sharedItems containsNonDate="0" containsString="0" containsBlank="1"/>
    </cacheField>
    <cacheField name="Maio" numFmtId="165">
      <sharedItems containsNonDate="0" containsString="0" containsBlank="1"/>
    </cacheField>
    <cacheField name="Junho" numFmtId="165">
      <sharedItems containsNonDate="0" containsString="0" containsBlank="1"/>
    </cacheField>
    <cacheField name="Julho" numFmtId="165">
      <sharedItems containsNonDate="0" containsString="0" containsBlank="1"/>
    </cacheField>
    <cacheField name="Agosto" numFmtId="165">
      <sharedItems containsNonDate="0" containsString="0" containsBlank="1"/>
    </cacheField>
    <cacheField name="Setembro" numFmtId="165">
      <sharedItems containsNonDate="0" containsString="0" containsBlank="1"/>
    </cacheField>
    <cacheField name="Outubro" numFmtId="165">
      <sharedItems containsNonDate="0" containsString="0" containsBlank="1"/>
    </cacheField>
    <cacheField name="Novembro" numFmtId="165">
      <sharedItems containsNonDate="0" containsString="0" containsBlank="1"/>
    </cacheField>
    <cacheField name="Dezembro" numFmtId="165">
      <sharedItems containsNonDate="0" containsString="0" containsBlank="1"/>
    </cacheField>
    <cacheField name="Tipo" numFmtId="165">
      <sharedItems containsBlank="1" count="6">
        <s v="TED"/>
        <m/>
        <s v="Em. Comissão"/>
        <s v="Em. Individual"/>
        <s v="MCom"/>
        <s v="Nota de Crédito"/>
      </sharedItems>
    </cacheField>
  </cacheFields>
  <extLst>
    <ext xmlns:x14="http://schemas.microsoft.com/office/spreadsheetml/2009/9/main" uri="{725AE2AE-9491-48be-B2B4-4EB974FC3084}">
      <x14:pivotCacheDefinition pivotCacheId="1391112432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ssandra Mascarenhas de Oliveira Solano" refreshedDate="44607.665032638892" createdVersion="7" refreshedVersion="7" minRefreshableVersion="3" recordCount="169" xr:uid="{092296E6-6B86-4EF7-B712-E6284C4D058C}">
  <cacheSource type="worksheet">
    <worksheetSource ref="C13:X182" sheet="ControleGeral"/>
  </cacheSource>
  <cacheFields count="22">
    <cacheField name="Processo" numFmtId="0">
      <sharedItems containsBlank="1"/>
    </cacheField>
    <cacheField name="Proponente" numFmtId="165">
      <sharedItems containsBlank="1" count="46">
        <s v="PRF RO"/>
        <m/>
        <s v="Bancada de Alagoas"/>
        <s v="Bancada de Minas Gerais"/>
        <s v="Bancada de São Paulo"/>
        <s v="Bancada do Espírito Santo"/>
        <s v="Bancada do Maranhão"/>
        <s v="Bancada do Pará"/>
        <s v="Cabo Junio Amaral"/>
        <s v="Celso Sabino"/>
        <s v="Coronel Chrisóstomo"/>
        <s v="Dimas Fabiano"/>
        <s v="Edna Henrique"/>
        <s v="Elias Vaz"/>
        <s v="Expedito Netto"/>
        <s v="Fabio Reis"/>
        <s v="Flavia Arruda"/>
        <s v="Flaviano Melo"/>
        <s v="General Girão"/>
        <s v="João Roma"/>
        <s v="Joenia Wapichana"/>
        <s v="José Nunes"/>
        <s v="Josivaldo JP"/>
        <s v="Junior Lourenço"/>
        <s v="Leo de Brito"/>
        <s v="Leur Lomanto"/>
        <s v="Luciano Bivar"/>
        <s v="Luis Tibé"/>
        <s v="Mara Rocha"/>
        <s v="Marx Beltrão"/>
        <s v="Ministério das Comunicações"/>
        <s v="Ministério da Educação"/>
        <s v="Ministério da Justiça"/>
        <s v="Ministério do Meio Ambiente"/>
        <s v="Perpétua Almeida"/>
        <s v="Senador Confúcio Moura"/>
        <s v="Sérgio Petecão"/>
        <s v="Soraya Thronicke"/>
        <s v="Uldurico Junior"/>
        <s v="MCom"/>
        <s v="Alice Portugal" u="1"/>
        <s v="José Medeiros" u="1"/>
        <s v="Ministério da Cidadania" u="1"/>
        <s v="MCom (CD)" u="1"/>
        <s v="PRF AM" u="1"/>
        <s v="CENSIPAM" u="1"/>
      </sharedItems>
    </cacheField>
    <cacheField name="Contrato" numFmtId="165">
      <sharedItems containsBlank="1" count="3">
        <s v="GESAC"/>
        <m/>
        <s v="WifiBrasil"/>
      </sharedItems>
    </cacheField>
    <cacheField name="Nota de Empenho / NC" numFmtId="165">
      <sharedItems containsBlank="1"/>
    </cacheField>
    <cacheField name="Valor Empenhado" numFmtId="165">
      <sharedItems containsString="0" containsBlank="1" containsNumber="1" minValue="0" maxValue="16863198"/>
    </cacheField>
    <cacheField name="Valor Pago" numFmtId="165">
      <sharedItems containsSemiMixedTypes="0" containsString="0" containsNumber="1" containsInteger="1" minValue="0" maxValue="0"/>
    </cacheField>
    <cacheField name="Saldo do Empenho" numFmtId="165">
      <sharedItems containsSemiMixedTypes="0" containsString="0" containsNumber="1" minValue="0" maxValue="16980781.538382418"/>
    </cacheField>
    <cacheField name="Consumo %" numFmtId="9">
      <sharedItems containsBlank="1" containsMixedTypes="1" containsNumber="1" containsInteger="1" minValue="0" maxValue="0"/>
    </cacheField>
    <cacheField name="Fim do Recurso (M)" numFmtId="0">
      <sharedItems containsBlank="1"/>
    </cacheField>
    <cacheField name="Janeiro" numFmtId="165">
      <sharedItems containsNonDate="0" containsString="0" containsBlank="1"/>
    </cacheField>
    <cacheField name="Fevereiro" numFmtId="165">
      <sharedItems containsNonDate="0" containsString="0" containsBlank="1"/>
    </cacheField>
    <cacheField name="Março" numFmtId="165">
      <sharedItems containsNonDate="0" containsString="0" containsBlank="1"/>
    </cacheField>
    <cacheField name="Abril" numFmtId="165">
      <sharedItems containsNonDate="0" containsString="0" containsBlank="1"/>
    </cacheField>
    <cacheField name="Maio" numFmtId="165">
      <sharedItems containsNonDate="0" containsString="0" containsBlank="1"/>
    </cacheField>
    <cacheField name="Junho" numFmtId="165">
      <sharedItems containsNonDate="0" containsString="0" containsBlank="1"/>
    </cacheField>
    <cacheField name="Julho" numFmtId="165">
      <sharedItems containsNonDate="0" containsString="0" containsBlank="1"/>
    </cacheField>
    <cacheField name="Agosto" numFmtId="165">
      <sharedItems containsNonDate="0" containsString="0" containsBlank="1"/>
    </cacheField>
    <cacheField name="Setembro" numFmtId="165">
      <sharedItems containsNonDate="0" containsString="0" containsBlank="1"/>
    </cacheField>
    <cacheField name="Outubro" numFmtId="165">
      <sharedItems containsNonDate="0" containsString="0" containsBlank="1"/>
    </cacheField>
    <cacheField name="Novembro" numFmtId="165">
      <sharedItems containsNonDate="0" containsString="0" containsBlank="1"/>
    </cacheField>
    <cacheField name="Dezembro" numFmtId="165">
      <sharedItems containsNonDate="0" containsString="0" containsBlank="1"/>
    </cacheField>
    <cacheField name="Tipo" numFmtId="165">
      <sharedItems containsBlank="1"/>
    </cacheField>
  </cacheFields>
  <extLst>
    <ext xmlns:x14="http://schemas.microsoft.com/office/spreadsheetml/2009/9/main" uri="{725AE2AE-9491-48be-B2B4-4EB974FC3084}">
      <x14:pivotCacheDefinition pivotCacheId="458346496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OnLoad="1" refreshedBy="Alessandra Mascarenhas de Oliveira Solano" refreshedDate="44627.705347916664" createdVersion="7" refreshedVersion="7" minRefreshableVersion="3" recordCount="915" xr:uid="{274595FA-801E-4E7E-B2CC-C53AA9E2499A}">
  <cacheSource type="worksheet">
    <worksheetSource ref="B2:I917" sheet="AnalíticoNC"/>
  </cacheSource>
  <cacheFields count="8">
    <cacheField name="Proponente" numFmtId="0">
      <sharedItems count="42">
        <s v="Bancada de Alagoas"/>
        <s v="Bancada de Minas Gerais"/>
        <s v="Bancada de São Paulo"/>
        <s v="Bancada do Espírito Santo"/>
        <s v="Bancada do Maranhão"/>
        <s v="Bancada do Pará"/>
        <s v="Cabo Junio Amaral"/>
        <s v="Celso Sabino"/>
        <s v="Coronel Chrisóstomo"/>
        <s v="Dimas Fabiano"/>
        <s v="Edna Henrique"/>
        <s v="Elias Vaz"/>
        <s v="Expedito Netto"/>
        <s v="Fabio Reis"/>
        <s v="Flavia Arruda"/>
        <s v="Flaviano Melo"/>
        <s v="General Girão"/>
        <s v="João Roma"/>
        <s v="Joenia Wapichana"/>
        <s v="José Nunes"/>
        <s v="Josivaldo JP"/>
        <s v="Junior Lourenço"/>
        <s v="Leo de Brito"/>
        <s v="Leur Lomanto"/>
        <s v="Luciano Bivar"/>
        <s v="Luis Tibé"/>
        <s v="Mara Rocha"/>
        <s v="Marx Beltrão"/>
        <s v="Ministério das Comunicações"/>
        <s v="Ministério da Educação"/>
        <s v="Ministério da Justiça"/>
        <s v="Ministério do Meio Ambiente"/>
        <s v="Perpétua Almeida"/>
        <s v="PRF RO"/>
        <s v="Senador Confúcio Moura"/>
        <s v="Sérgio Petecão"/>
        <s v="Soraya Thronicke"/>
        <s v="Uldurico Junior"/>
        <s v="CENSIPAM"/>
        <s v="Carla Dickson"/>
        <s v="Ministério da Cidadania"/>
        <s v="MCom"/>
      </sharedItems>
    </cacheField>
    <cacheField name="Nota de Crédito" numFmtId="0">
      <sharedItems/>
    </cacheField>
    <cacheField name="Programa" numFmtId="0">
      <sharedItems count="2">
        <s v="GESAC"/>
        <s v="WifiBrasil"/>
      </sharedItems>
    </cacheField>
    <cacheField name="Mês" numFmtId="0">
      <sharedItems count="12">
        <s v="Janeiro"/>
        <s v="Fevereiro"/>
        <s v="Março"/>
        <s v="Abril"/>
        <s v="Maio"/>
        <s v="Junho"/>
        <s v="Julho"/>
        <s v="Agosto"/>
        <s v="Setembro"/>
        <s v="Outubro"/>
        <s v="Novembro"/>
        <s v="Dezembro"/>
      </sharedItems>
    </cacheField>
    <cacheField name="Valor Faturado" numFmtId="44">
      <sharedItems containsNonDate="0" containsString="0" containsBlank="1"/>
    </cacheField>
    <cacheField name="Valor Corrigido" numFmtId="44">
      <sharedItems containsSemiMixedTypes="0" containsString="0" containsNumber="1" minValue="0" maxValue="117583.53838242"/>
    </cacheField>
    <cacheField name="Valor Utilizado" numFmtId="44">
      <sharedItems containsSemiMixedTypes="0" containsString="0" containsNumber="1" containsInteger="1" minValue="0" maxValue="0"/>
    </cacheField>
    <cacheField name="Saldo no Período" numFmtId="44">
      <sharedItems containsSemiMixedTypes="0" containsString="0" containsNumber="1" minValue="2492.2979341616001" maxValue="16980781.538382418"/>
    </cacheField>
  </cacheFields>
  <extLst>
    <ext xmlns:x14="http://schemas.microsoft.com/office/spreadsheetml/2009/9/main" uri="{725AE2AE-9491-48be-B2B4-4EB974FC3084}">
      <x14:pivotCacheDefinition pivotCacheId="2078106900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8">
  <r>
    <s v="01250.013622/2020-71"/>
    <x v="0"/>
    <x v="0"/>
    <s v="2021NE000095"/>
    <n v="74324.41"/>
    <n v="0"/>
    <n v="74324.41"/>
    <n v="0"/>
    <s v=""/>
    <m/>
    <m/>
    <m/>
    <m/>
    <m/>
    <m/>
    <m/>
    <m/>
    <m/>
    <m/>
    <m/>
    <m/>
    <x v="0"/>
  </r>
  <r>
    <m/>
    <x v="1"/>
    <x v="1"/>
    <m/>
    <m/>
    <n v="0"/>
    <n v="0"/>
    <s v=""/>
    <s v=""/>
    <m/>
    <m/>
    <m/>
    <m/>
    <m/>
    <m/>
    <m/>
    <m/>
    <m/>
    <m/>
    <m/>
    <m/>
    <x v="1"/>
  </r>
  <r>
    <m/>
    <x v="1"/>
    <x v="1"/>
    <m/>
    <m/>
    <n v="0"/>
    <n v="0"/>
    <s v=""/>
    <m/>
    <m/>
    <m/>
    <m/>
    <m/>
    <m/>
    <m/>
    <m/>
    <m/>
    <m/>
    <m/>
    <m/>
    <m/>
    <x v="1"/>
  </r>
  <r>
    <m/>
    <x v="1"/>
    <x v="1"/>
    <m/>
    <m/>
    <n v="0"/>
    <n v="0"/>
    <s v=""/>
    <m/>
    <m/>
    <m/>
    <m/>
    <m/>
    <m/>
    <m/>
    <m/>
    <m/>
    <m/>
    <m/>
    <m/>
    <m/>
    <x v="1"/>
  </r>
  <r>
    <m/>
    <x v="1"/>
    <x v="1"/>
    <m/>
    <m/>
    <n v="0"/>
    <n v="0"/>
    <s v=""/>
    <s v=""/>
    <m/>
    <m/>
    <m/>
    <m/>
    <m/>
    <m/>
    <m/>
    <m/>
    <m/>
    <m/>
    <m/>
    <m/>
    <x v="1"/>
  </r>
  <r>
    <m/>
    <x v="1"/>
    <x v="1"/>
    <m/>
    <m/>
    <n v="0"/>
    <n v="0"/>
    <s v=""/>
    <m/>
    <m/>
    <m/>
    <m/>
    <m/>
    <m/>
    <m/>
    <m/>
    <m/>
    <m/>
    <m/>
    <m/>
    <m/>
    <x v="1"/>
  </r>
  <r>
    <m/>
    <x v="1"/>
    <x v="1"/>
    <m/>
    <m/>
    <n v="0"/>
    <n v="0"/>
    <s v=""/>
    <s v=""/>
    <m/>
    <m/>
    <m/>
    <m/>
    <m/>
    <m/>
    <m/>
    <m/>
    <m/>
    <m/>
    <m/>
    <m/>
    <x v="1"/>
  </r>
  <r>
    <m/>
    <x v="1"/>
    <x v="1"/>
    <m/>
    <m/>
    <n v="0"/>
    <n v="0"/>
    <s v=""/>
    <m/>
    <m/>
    <m/>
    <m/>
    <m/>
    <m/>
    <m/>
    <m/>
    <m/>
    <m/>
    <m/>
    <m/>
    <m/>
    <x v="1"/>
  </r>
  <r>
    <m/>
    <x v="1"/>
    <x v="1"/>
    <m/>
    <m/>
    <n v="0"/>
    <n v="0"/>
    <s v=""/>
    <s v=""/>
    <m/>
    <m/>
    <m/>
    <m/>
    <m/>
    <m/>
    <m/>
    <m/>
    <m/>
    <m/>
    <m/>
    <m/>
    <x v="1"/>
  </r>
  <r>
    <m/>
    <x v="1"/>
    <x v="1"/>
    <m/>
    <m/>
    <n v="0"/>
    <n v="0"/>
    <s v=""/>
    <m/>
    <m/>
    <m/>
    <m/>
    <m/>
    <m/>
    <m/>
    <m/>
    <m/>
    <m/>
    <m/>
    <m/>
    <m/>
    <x v="1"/>
  </r>
  <r>
    <m/>
    <x v="1"/>
    <x v="1"/>
    <m/>
    <m/>
    <n v="0"/>
    <n v="0"/>
    <s v=""/>
    <s v=""/>
    <m/>
    <m/>
    <m/>
    <m/>
    <m/>
    <m/>
    <m/>
    <m/>
    <m/>
    <m/>
    <m/>
    <m/>
    <x v="1"/>
  </r>
  <r>
    <m/>
    <x v="1"/>
    <x v="1"/>
    <m/>
    <m/>
    <n v="0"/>
    <n v="0"/>
    <s v=""/>
    <s v=""/>
    <m/>
    <m/>
    <m/>
    <m/>
    <m/>
    <m/>
    <m/>
    <m/>
    <m/>
    <m/>
    <m/>
    <m/>
    <x v="1"/>
  </r>
  <r>
    <m/>
    <x v="1"/>
    <x v="1"/>
    <m/>
    <m/>
    <n v="0"/>
    <n v="0"/>
    <s v=""/>
    <s v=""/>
    <m/>
    <m/>
    <m/>
    <m/>
    <m/>
    <m/>
    <m/>
    <m/>
    <m/>
    <m/>
    <m/>
    <m/>
    <x v="1"/>
  </r>
  <r>
    <m/>
    <x v="1"/>
    <x v="1"/>
    <m/>
    <m/>
    <n v="0"/>
    <n v="0"/>
    <s v=""/>
    <m/>
    <m/>
    <m/>
    <m/>
    <m/>
    <m/>
    <m/>
    <m/>
    <m/>
    <m/>
    <m/>
    <m/>
    <m/>
    <x v="1"/>
  </r>
  <r>
    <m/>
    <x v="1"/>
    <x v="1"/>
    <m/>
    <m/>
    <n v="0"/>
    <n v="0"/>
    <s v=""/>
    <m/>
    <m/>
    <m/>
    <m/>
    <m/>
    <m/>
    <m/>
    <m/>
    <m/>
    <m/>
    <m/>
    <m/>
    <m/>
    <x v="1"/>
  </r>
  <r>
    <m/>
    <x v="1"/>
    <x v="1"/>
    <m/>
    <m/>
    <n v="0"/>
    <n v="0"/>
    <s v=""/>
    <s v=""/>
    <m/>
    <m/>
    <m/>
    <m/>
    <m/>
    <m/>
    <m/>
    <m/>
    <m/>
    <m/>
    <m/>
    <m/>
    <x v="2"/>
  </r>
  <r>
    <m/>
    <x v="1"/>
    <x v="1"/>
    <m/>
    <m/>
    <n v="0"/>
    <n v="0"/>
    <s v=""/>
    <s v=""/>
    <m/>
    <m/>
    <m/>
    <m/>
    <m/>
    <m/>
    <m/>
    <m/>
    <m/>
    <m/>
    <m/>
    <m/>
    <x v="2"/>
  </r>
  <r>
    <m/>
    <x v="1"/>
    <x v="1"/>
    <m/>
    <m/>
    <n v="0"/>
    <n v="0"/>
    <s v=""/>
    <s v=""/>
    <m/>
    <m/>
    <m/>
    <m/>
    <m/>
    <m/>
    <m/>
    <m/>
    <m/>
    <m/>
    <m/>
    <m/>
    <x v="2"/>
  </r>
  <r>
    <m/>
    <x v="1"/>
    <x v="1"/>
    <m/>
    <m/>
    <n v="0"/>
    <n v="0"/>
    <s v=""/>
    <m/>
    <m/>
    <m/>
    <m/>
    <m/>
    <m/>
    <m/>
    <m/>
    <m/>
    <m/>
    <m/>
    <m/>
    <m/>
    <x v="2"/>
  </r>
  <r>
    <m/>
    <x v="1"/>
    <x v="1"/>
    <m/>
    <m/>
    <n v="0"/>
    <n v="0"/>
    <s v=""/>
    <m/>
    <m/>
    <m/>
    <m/>
    <m/>
    <m/>
    <m/>
    <m/>
    <m/>
    <m/>
    <m/>
    <m/>
    <m/>
    <x v="2"/>
  </r>
  <r>
    <m/>
    <x v="1"/>
    <x v="1"/>
    <m/>
    <m/>
    <n v="0"/>
    <n v="0"/>
    <s v=""/>
    <s v=""/>
    <m/>
    <m/>
    <m/>
    <m/>
    <m/>
    <m/>
    <m/>
    <m/>
    <m/>
    <m/>
    <m/>
    <m/>
    <x v="3"/>
  </r>
  <r>
    <m/>
    <x v="1"/>
    <x v="1"/>
    <m/>
    <m/>
    <n v="0"/>
    <n v="0"/>
    <s v=""/>
    <m/>
    <m/>
    <m/>
    <m/>
    <m/>
    <m/>
    <m/>
    <m/>
    <m/>
    <m/>
    <m/>
    <m/>
    <m/>
    <x v="3"/>
  </r>
  <r>
    <m/>
    <x v="1"/>
    <x v="1"/>
    <m/>
    <m/>
    <n v="0"/>
    <n v="0"/>
    <s v=""/>
    <s v=""/>
    <m/>
    <m/>
    <m/>
    <m/>
    <m/>
    <m/>
    <m/>
    <m/>
    <m/>
    <m/>
    <m/>
    <m/>
    <x v="3"/>
  </r>
  <r>
    <m/>
    <x v="1"/>
    <x v="1"/>
    <m/>
    <m/>
    <n v="0"/>
    <n v="0"/>
    <s v=""/>
    <m/>
    <m/>
    <m/>
    <m/>
    <m/>
    <m/>
    <m/>
    <m/>
    <m/>
    <m/>
    <m/>
    <m/>
    <m/>
    <x v="3"/>
  </r>
  <r>
    <m/>
    <x v="1"/>
    <x v="1"/>
    <m/>
    <m/>
    <n v="0"/>
    <n v="0"/>
    <s v=""/>
    <s v=""/>
    <m/>
    <m/>
    <m/>
    <m/>
    <m/>
    <m/>
    <m/>
    <m/>
    <m/>
    <m/>
    <m/>
    <m/>
    <x v="3"/>
  </r>
  <r>
    <m/>
    <x v="1"/>
    <x v="1"/>
    <m/>
    <m/>
    <n v="0"/>
    <n v="0"/>
    <s v=""/>
    <s v=""/>
    <m/>
    <m/>
    <m/>
    <m/>
    <m/>
    <m/>
    <m/>
    <m/>
    <m/>
    <m/>
    <m/>
    <m/>
    <x v="0"/>
  </r>
  <r>
    <m/>
    <x v="1"/>
    <x v="1"/>
    <m/>
    <m/>
    <n v="0"/>
    <n v="0"/>
    <s v=""/>
    <s v=""/>
    <m/>
    <m/>
    <m/>
    <m/>
    <m/>
    <m/>
    <m/>
    <m/>
    <m/>
    <m/>
    <m/>
    <m/>
    <x v="3"/>
  </r>
  <r>
    <m/>
    <x v="1"/>
    <x v="1"/>
    <m/>
    <m/>
    <n v="0"/>
    <n v="0"/>
    <s v=""/>
    <m/>
    <m/>
    <m/>
    <m/>
    <m/>
    <m/>
    <m/>
    <m/>
    <m/>
    <m/>
    <m/>
    <m/>
    <m/>
    <x v="3"/>
  </r>
  <r>
    <m/>
    <x v="1"/>
    <x v="1"/>
    <m/>
    <m/>
    <n v="0"/>
    <n v="0"/>
    <s v=""/>
    <s v=""/>
    <m/>
    <m/>
    <m/>
    <m/>
    <m/>
    <m/>
    <m/>
    <m/>
    <m/>
    <m/>
    <m/>
    <m/>
    <x v="3"/>
  </r>
  <r>
    <m/>
    <x v="1"/>
    <x v="1"/>
    <m/>
    <m/>
    <n v="0"/>
    <n v="0"/>
    <s v=""/>
    <m/>
    <m/>
    <m/>
    <m/>
    <m/>
    <m/>
    <m/>
    <m/>
    <m/>
    <m/>
    <m/>
    <m/>
    <m/>
    <x v="3"/>
  </r>
  <r>
    <m/>
    <x v="1"/>
    <x v="1"/>
    <m/>
    <m/>
    <n v="0"/>
    <n v="0"/>
    <s v=""/>
    <s v=""/>
    <m/>
    <m/>
    <m/>
    <m/>
    <m/>
    <m/>
    <m/>
    <m/>
    <m/>
    <m/>
    <m/>
    <m/>
    <x v="3"/>
  </r>
  <r>
    <m/>
    <x v="1"/>
    <x v="1"/>
    <m/>
    <m/>
    <n v="0"/>
    <n v="0"/>
    <s v=""/>
    <m/>
    <m/>
    <m/>
    <m/>
    <m/>
    <m/>
    <m/>
    <m/>
    <m/>
    <m/>
    <m/>
    <m/>
    <m/>
    <x v="3"/>
  </r>
  <r>
    <m/>
    <x v="1"/>
    <x v="1"/>
    <m/>
    <m/>
    <n v="0"/>
    <n v="0"/>
    <s v=""/>
    <s v=""/>
    <m/>
    <m/>
    <m/>
    <m/>
    <m/>
    <m/>
    <m/>
    <m/>
    <m/>
    <m/>
    <m/>
    <m/>
    <x v="3"/>
  </r>
  <r>
    <m/>
    <x v="1"/>
    <x v="1"/>
    <m/>
    <m/>
    <n v="0"/>
    <n v="0"/>
    <s v=""/>
    <s v=""/>
    <m/>
    <m/>
    <m/>
    <m/>
    <m/>
    <m/>
    <m/>
    <m/>
    <m/>
    <m/>
    <m/>
    <m/>
    <x v="3"/>
  </r>
  <r>
    <m/>
    <x v="1"/>
    <x v="1"/>
    <m/>
    <m/>
    <n v="0"/>
    <n v="0"/>
    <s v=""/>
    <s v=""/>
    <m/>
    <m/>
    <m/>
    <m/>
    <m/>
    <m/>
    <m/>
    <m/>
    <m/>
    <m/>
    <m/>
    <m/>
    <x v="3"/>
  </r>
  <r>
    <m/>
    <x v="1"/>
    <x v="1"/>
    <m/>
    <m/>
    <n v="0"/>
    <n v="0"/>
    <s v=""/>
    <s v=""/>
    <m/>
    <m/>
    <m/>
    <m/>
    <m/>
    <m/>
    <m/>
    <m/>
    <m/>
    <m/>
    <m/>
    <m/>
    <x v="3"/>
  </r>
  <r>
    <m/>
    <x v="1"/>
    <x v="1"/>
    <m/>
    <m/>
    <n v="0"/>
    <n v="0"/>
    <s v=""/>
    <m/>
    <m/>
    <m/>
    <m/>
    <m/>
    <m/>
    <m/>
    <m/>
    <m/>
    <m/>
    <m/>
    <m/>
    <m/>
    <x v="3"/>
  </r>
  <r>
    <m/>
    <x v="1"/>
    <x v="1"/>
    <m/>
    <m/>
    <n v="0"/>
    <n v="0"/>
    <s v=""/>
    <s v=""/>
    <m/>
    <m/>
    <m/>
    <m/>
    <m/>
    <m/>
    <m/>
    <m/>
    <m/>
    <m/>
    <m/>
    <m/>
    <x v="3"/>
  </r>
  <r>
    <m/>
    <x v="1"/>
    <x v="1"/>
    <m/>
    <m/>
    <n v="0"/>
    <n v="0"/>
    <s v=""/>
    <m/>
    <m/>
    <m/>
    <m/>
    <m/>
    <m/>
    <m/>
    <m/>
    <m/>
    <m/>
    <m/>
    <m/>
    <m/>
    <x v="3"/>
  </r>
  <r>
    <m/>
    <x v="1"/>
    <x v="1"/>
    <m/>
    <m/>
    <n v="0"/>
    <n v="0"/>
    <s v=""/>
    <s v=""/>
    <m/>
    <m/>
    <m/>
    <m/>
    <m/>
    <m/>
    <m/>
    <m/>
    <m/>
    <m/>
    <m/>
    <m/>
    <x v="3"/>
  </r>
  <r>
    <m/>
    <x v="1"/>
    <x v="1"/>
    <m/>
    <m/>
    <n v="0"/>
    <n v="0"/>
    <s v=""/>
    <s v=""/>
    <m/>
    <m/>
    <m/>
    <m/>
    <m/>
    <m/>
    <m/>
    <m/>
    <m/>
    <m/>
    <m/>
    <m/>
    <x v="3"/>
  </r>
  <r>
    <m/>
    <x v="1"/>
    <x v="1"/>
    <m/>
    <m/>
    <n v="0"/>
    <n v="0"/>
    <s v=""/>
    <s v=""/>
    <m/>
    <m/>
    <m/>
    <m/>
    <m/>
    <m/>
    <m/>
    <m/>
    <m/>
    <m/>
    <m/>
    <m/>
    <x v="3"/>
  </r>
  <r>
    <m/>
    <x v="1"/>
    <x v="1"/>
    <m/>
    <m/>
    <n v="0"/>
    <n v="0"/>
    <s v=""/>
    <m/>
    <m/>
    <m/>
    <m/>
    <m/>
    <m/>
    <m/>
    <m/>
    <m/>
    <m/>
    <m/>
    <m/>
    <m/>
    <x v="3"/>
  </r>
  <r>
    <m/>
    <x v="1"/>
    <x v="1"/>
    <m/>
    <m/>
    <n v="0"/>
    <n v="0"/>
    <s v=""/>
    <s v=""/>
    <m/>
    <m/>
    <m/>
    <m/>
    <m/>
    <m/>
    <m/>
    <m/>
    <m/>
    <m/>
    <m/>
    <m/>
    <x v="3"/>
  </r>
  <r>
    <m/>
    <x v="1"/>
    <x v="1"/>
    <m/>
    <m/>
    <n v="0"/>
    <n v="0"/>
    <s v=""/>
    <s v=""/>
    <m/>
    <m/>
    <m/>
    <m/>
    <m/>
    <m/>
    <m/>
    <m/>
    <m/>
    <m/>
    <m/>
    <m/>
    <x v="3"/>
  </r>
  <r>
    <m/>
    <x v="1"/>
    <x v="1"/>
    <m/>
    <m/>
    <n v="0"/>
    <n v="0"/>
    <s v=""/>
    <s v=""/>
    <m/>
    <m/>
    <m/>
    <m/>
    <m/>
    <m/>
    <m/>
    <m/>
    <m/>
    <m/>
    <m/>
    <m/>
    <x v="3"/>
  </r>
  <r>
    <m/>
    <x v="1"/>
    <x v="1"/>
    <m/>
    <m/>
    <n v="0"/>
    <n v="0"/>
    <s v=""/>
    <s v=""/>
    <m/>
    <m/>
    <m/>
    <m/>
    <m/>
    <m/>
    <m/>
    <m/>
    <m/>
    <m/>
    <m/>
    <m/>
    <x v="3"/>
  </r>
  <r>
    <m/>
    <x v="1"/>
    <x v="1"/>
    <m/>
    <m/>
    <n v="0"/>
    <n v="0"/>
    <s v=""/>
    <s v=""/>
    <m/>
    <m/>
    <m/>
    <m/>
    <m/>
    <m/>
    <m/>
    <m/>
    <m/>
    <m/>
    <m/>
    <m/>
    <x v="3"/>
  </r>
  <r>
    <m/>
    <x v="1"/>
    <x v="1"/>
    <m/>
    <m/>
    <n v="0"/>
    <n v="0"/>
    <s v=""/>
    <s v=""/>
    <m/>
    <m/>
    <m/>
    <m/>
    <m/>
    <m/>
    <m/>
    <m/>
    <m/>
    <m/>
    <m/>
    <m/>
    <x v="3"/>
  </r>
  <r>
    <m/>
    <x v="1"/>
    <x v="1"/>
    <m/>
    <m/>
    <n v="0"/>
    <n v="0"/>
    <s v=""/>
    <m/>
    <m/>
    <m/>
    <m/>
    <m/>
    <m/>
    <m/>
    <m/>
    <m/>
    <m/>
    <m/>
    <m/>
    <m/>
    <x v="3"/>
  </r>
  <r>
    <m/>
    <x v="1"/>
    <x v="1"/>
    <m/>
    <m/>
    <n v="0"/>
    <n v="0"/>
    <s v=""/>
    <s v=""/>
    <m/>
    <m/>
    <m/>
    <m/>
    <m/>
    <m/>
    <m/>
    <m/>
    <m/>
    <m/>
    <m/>
    <m/>
    <x v="3"/>
  </r>
  <r>
    <m/>
    <x v="1"/>
    <x v="1"/>
    <m/>
    <m/>
    <n v="0"/>
    <n v="0"/>
    <s v=""/>
    <m/>
    <m/>
    <m/>
    <m/>
    <m/>
    <m/>
    <m/>
    <m/>
    <m/>
    <m/>
    <m/>
    <m/>
    <m/>
    <x v="3"/>
  </r>
  <r>
    <m/>
    <x v="1"/>
    <x v="1"/>
    <m/>
    <m/>
    <n v="0"/>
    <n v="0"/>
    <s v=""/>
    <s v=""/>
    <m/>
    <m/>
    <m/>
    <m/>
    <m/>
    <m/>
    <m/>
    <m/>
    <m/>
    <m/>
    <m/>
    <m/>
    <x v="3"/>
  </r>
  <r>
    <m/>
    <x v="1"/>
    <x v="1"/>
    <m/>
    <m/>
    <n v="0"/>
    <n v="0"/>
    <s v=""/>
    <m/>
    <m/>
    <m/>
    <m/>
    <m/>
    <m/>
    <m/>
    <m/>
    <m/>
    <m/>
    <m/>
    <m/>
    <m/>
    <x v="3"/>
  </r>
  <r>
    <m/>
    <x v="1"/>
    <x v="1"/>
    <m/>
    <m/>
    <n v="0"/>
    <n v="0"/>
    <s v=""/>
    <s v=""/>
    <m/>
    <m/>
    <m/>
    <m/>
    <m/>
    <m/>
    <m/>
    <m/>
    <m/>
    <m/>
    <m/>
    <m/>
    <x v="3"/>
  </r>
  <r>
    <m/>
    <x v="1"/>
    <x v="1"/>
    <m/>
    <m/>
    <n v="0"/>
    <n v="0"/>
    <s v=""/>
    <m/>
    <m/>
    <m/>
    <m/>
    <m/>
    <m/>
    <m/>
    <m/>
    <m/>
    <m/>
    <m/>
    <m/>
    <m/>
    <x v="3"/>
  </r>
  <r>
    <m/>
    <x v="1"/>
    <x v="1"/>
    <m/>
    <m/>
    <n v="0"/>
    <n v="0"/>
    <s v=""/>
    <s v=""/>
    <m/>
    <m/>
    <m/>
    <m/>
    <m/>
    <m/>
    <m/>
    <m/>
    <m/>
    <m/>
    <m/>
    <m/>
    <x v="3"/>
  </r>
  <r>
    <m/>
    <x v="1"/>
    <x v="1"/>
    <m/>
    <m/>
    <n v="0"/>
    <n v="0"/>
    <s v=""/>
    <m/>
    <m/>
    <m/>
    <m/>
    <m/>
    <m/>
    <m/>
    <m/>
    <m/>
    <m/>
    <m/>
    <m/>
    <m/>
    <x v="3"/>
  </r>
  <r>
    <m/>
    <x v="1"/>
    <x v="1"/>
    <m/>
    <m/>
    <n v="0"/>
    <n v="0"/>
    <s v=""/>
    <s v=""/>
    <m/>
    <m/>
    <m/>
    <m/>
    <m/>
    <m/>
    <m/>
    <m/>
    <m/>
    <m/>
    <m/>
    <m/>
    <x v="3"/>
  </r>
  <r>
    <m/>
    <x v="1"/>
    <x v="1"/>
    <m/>
    <m/>
    <n v="0"/>
    <n v="0"/>
    <s v=""/>
    <m/>
    <m/>
    <m/>
    <m/>
    <m/>
    <m/>
    <m/>
    <m/>
    <m/>
    <m/>
    <m/>
    <m/>
    <m/>
    <x v="3"/>
  </r>
  <r>
    <m/>
    <x v="1"/>
    <x v="1"/>
    <m/>
    <m/>
    <n v="0"/>
    <n v="0"/>
    <s v=""/>
    <s v=""/>
    <m/>
    <m/>
    <m/>
    <m/>
    <m/>
    <m/>
    <m/>
    <m/>
    <m/>
    <m/>
    <m/>
    <m/>
    <x v="3"/>
  </r>
  <r>
    <m/>
    <x v="1"/>
    <x v="1"/>
    <m/>
    <m/>
    <n v="0"/>
    <n v="0"/>
    <s v=""/>
    <m/>
    <m/>
    <m/>
    <m/>
    <m/>
    <m/>
    <m/>
    <m/>
    <m/>
    <m/>
    <m/>
    <m/>
    <m/>
    <x v="3"/>
  </r>
  <r>
    <m/>
    <x v="1"/>
    <x v="1"/>
    <m/>
    <m/>
    <n v="0"/>
    <n v="0"/>
    <s v=""/>
    <s v=""/>
    <m/>
    <m/>
    <m/>
    <m/>
    <m/>
    <m/>
    <m/>
    <m/>
    <m/>
    <m/>
    <m/>
    <m/>
    <x v="3"/>
  </r>
  <r>
    <m/>
    <x v="1"/>
    <x v="1"/>
    <m/>
    <m/>
    <n v="0"/>
    <n v="0"/>
    <s v=""/>
    <m/>
    <m/>
    <m/>
    <m/>
    <m/>
    <m/>
    <m/>
    <m/>
    <m/>
    <m/>
    <m/>
    <m/>
    <m/>
    <x v="3"/>
  </r>
  <r>
    <m/>
    <x v="1"/>
    <x v="1"/>
    <m/>
    <m/>
    <n v="0"/>
    <n v="0"/>
    <s v=""/>
    <s v=""/>
    <m/>
    <m/>
    <m/>
    <m/>
    <m/>
    <m/>
    <m/>
    <m/>
    <m/>
    <m/>
    <m/>
    <m/>
    <x v="3"/>
  </r>
  <r>
    <m/>
    <x v="1"/>
    <x v="1"/>
    <m/>
    <m/>
    <n v="0"/>
    <n v="0"/>
    <s v=""/>
    <m/>
    <m/>
    <m/>
    <m/>
    <m/>
    <m/>
    <m/>
    <m/>
    <m/>
    <m/>
    <m/>
    <m/>
    <m/>
    <x v="3"/>
  </r>
  <r>
    <m/>
    <x v="1"/>
    <x v="1"/>
    <m/>
    <m/>
    <n v="0"/>
    <n v="0"/>
    <s v=""/>
    <s v=""/>
    <m/>
    <m/>
    <m/>
    <m/>
    <m/>
    <m/>
    <m/>
    <m/>
    <m/>
    <m/>
    <m/>
    <m/>
    <x v="4"/>
  </r>
  <r>
    <m/>
    <x v="1"/>
    <x v="1"/>
    <m/>
    <m/>
    <n v="0"/>
    <n v="0"/>
    <s v=""/>
    <s v=""/>
    <m/>
    <m/>
    <m/>
    <m/>
    <m/>
    <m/>
    <m/>
    <m/>
    <m/>
    <m/>
    <m/>
    <m/>
    <x v="4"/>
  </r>
  <r>
    <m/>
    <x v="1"/>
    <x v="1"/>
    <m/>
    <m/>
    <n v="0"/>
    <n v="0"/>
    <s v=""/>
    <s v=""/>
    <m/>
    <m/>
    <m/>
    <m/>
    <m/>
    <m/>
    <m/>
    <m/>
    <m/>
    <m/>
    <m/>
    <m/>
    <x v="4"/>
  </r>
  <r>
    <m/>
    <x v="1"/>
    <x v="1"/>
    <m/>
    <m/>
    <n v="0"/>
    <n v="0"/>
    <s v=""/>
    <m/>
    <m/>
    <m/>
    <m/>
    <m/>
    <m/>
    <m/>
    <m/>
    <m/>
    <m/>
    <m/>
    <m/>
    <m/>
    <x v="4"/>
  </r>
  <r>
    <m/>
    <x v="1"/>
    <x v="1"/>
    <m/>
    <m/>
    <n v="0"/>
    <n v="0"/>
    <s v=""/>
    <s v=""/>
    <m/>
    <m/>
    <m/>
    <m/>
    <m/>
    <m/>
    <m/>
    <m/>
    <m/>
    <m/>
    <m/>
    <m/>
    <x v="4"/>
  </r>
  <r>
    <m/>
    <x v="1"/>
    <x v="1"/>
    <m/>
    <m/>
    <n v="0"/>
    <n v="0"/>
    <s v=""/>
    <m/>
    <m/>
    <m/>
    <m/>
    <m/>
    <m/>
    <m/>
    <m/>
    <m/>
    <m/>
    <m/>
    <m/>
    <m/>
    <x v="4"/>
  </r>
  <r>
    <m/>
    <x v="1"/>
    <x v="1"/>
    <m/>
    <m/>
    <n v="0"/>
    <n v="0"/>
    <s v=""/>
    <s v=""/>
    <m/>
    <m/>
    <m/>
    <m/>
    <m/>
    <m/>
    <m/>
    <m/>
    <m/>
    <m/>
    <m/>
    <m/>
    <x v="0"/>
  </r>
  <r>
    <m/>
    <x v="1"/>
    <x v="1"/>
    <m/>
    <m/>
    <n v="0"/>
    <n v="0"/>
    <s v=""/>
    <s v=""/>
    <m/>
    <m/>
    <m/>
    <m/>
    <m/>
    <m/>
    <m/>
    <m/>
    <m/>
    <m/>
    <m/>
    <m/>
    <x v="0"/>
  </r>
  <r>
    <m/>
    <x v="1"/>
    <x v="1"/>
    <m/>
    <m/>
    <n v="0"/>
    <n v="0"/>
    <s v=""/>
    <s v=""/>
    <m/>
    <m/>
    <m/>
    <m/>
    <m/>
    <m/>
    <m/>
    <m/>
    <m/>
    <m/>
    <m/>
    <m/>
    <x v="0"/>
  </r>
  <r>
    <m/>
    <x v="1"/>
    <x v="1"/>
    <m/>
    <m/>
    <n v="0"/>
    <n v="0"/>
    <s v=""/>
    <s v=""/>
    <m/>
    <m/>
    <m/>
    <m/>
    <m/>
    <m/>
    <m/>
    <m/>
    <m/>
    <m/>
    <m/>
    <m/>
    <x v="0"/>
  </r>
  <r>
    <m/>
    <x v="1"/>
    <x v="1"/>
    <m/>
    <m/>
    <n v="0"/>
    <n v="0"/>
    <s v=""/>
    <s v=""/>
    <m/>
    <m/>
    <m/>
    <m/>
    <m/>
    <m/>
    <m/>
    <m/>
    <m/>
    <m/>
    <m/>
    <m/>
    <x v="0"/>
  </r>
  <r>
    <m/>
    <x v="1"/>
    <x v="1"/>
    <m/>
    <m/>
    <n v="0"/>
    <n v="0"/>
    <m/>
    <s v=""/>
    <m/>
    <m/>
    <m/>
    <m/>
    <m/>
    <m/>
    <m/>
    <m/>
    <m/>
    <m/>
    <m/>
    <m/>
    <x v="0"/>
  </r>
  <r>
    <m/>
    <x v="1"/>
    <x v="1"/>
    <m/>
    <m/>
    <n v="0"/>
    <n v="0"/>
    <s v=""/>
    <s v=""/>
    <m/>
    <m/>
    <m/>
    <m/>
    <m/>
    <m/>
    <m/>
    <m/>
    <m/>
    <m/>
    <m/>
    <m/>
    <x v="3"/>
  </r>
  <r>
    <m/>
    <x v="1"/>
    <x v="1"/>
    <m/>
    <m/>
    <n v="0"/>
    <n v="0"/>
    <s v=""/>
    <m/>
    <m/>
    <m/>
    <m/>
    <m/>
    <m/>
    <m/>
    <m/>
    <m/>
    <m/>
    <m/>
    <m/>
    <m/>
    <x v="3"/>
  </r>
  <r>
    <m/>
    <x v="1"/>
    <x v="1"/>
    <m/>
    <m/>
    <n v="0"/>
    <n v="0"/>
    <s v=""/>
    <s v=""/>
    <m/>
    <m/>
    <m/>
    <m/>
    <m/>
    <m/>
    <m/>
    <m/>
    <m/>
    <m/>
    <m/>
    <m/>
    <x v="0"/>
  </r>
  <r>
    <m/>
    <x v="1"/>
    <x v="1"/>
    <m/>
    <m/>
    <n v="0"/>
    <n v="0"/>
    <s v=""/>
    <s v=""/>
    <m/>
    <m/>
    <m/>
    <m/>
    <m/>
    <m/>
    <m/>
    <m/>
    <m/>
    <m/>
    <m/>
    <m/>
    <x v="0"/>
  </r>
  <r>
    <m/>
    <x v="1"/>
    <x v="1"/>
    <m/>
    <m/>
    <n v="0"/>
    <n v="0"/>
    <s v=""/>
    <s v=""/>
    <m/>
    <m/>
    <m/>
    <m/>
    <m/>
    <m/>
    <m/>
    <m/>
    <m/>
    <m/>
    <m/>
    <m/>
    <x v="0"/>
  </r>
  <r>
    <m/>
    <x v="1"/>
    <x v="1"/>
    <m/>
    <m/>
    <n v="0"/>
    <n v="0"/>
    <s v=""/>
    <s v=""/>
    <m/>
    <m/>
    <m/>
    <m/>
    <m/>
    <m/>
    <m/>
    <m/>
    <m/>
    <m/>
    <m/>
    <m/>
    <x v="0"/>
  </r>
  <r>
    <m/>
    <x v="1"/>
    <x v="1"/>
    <m/>
    <m/>
    <n v="0"/>
    <n v="0"/>
    <s v=""/>
    <s v=""/>
    <m/>
    <m/>
    <m/>
    <m/>
    <m/>
    <m/>
    <m/>
    <m/>
    <m/>
    <m/>
    <m/>
    <m/>
    <x v="3"/>
  </r>
  <r>
    <m/>
    <x v="1"/>
    <x v="1"/>
    <m/>
    <m/>
    <n v="0"/>
    <n v="0"/>
    <s v=""/>
    <s v=""/>
    <m/>
    <m/>
    <m/>
    <m/>
    <m/>
    <m/>
    <m/>
    <m/>
    <m/>
    <m/>
    <m/>
    <m/>
    <x v="3"/>
  </r>
  <r>
    <m/>
    <x v="1"/>
    <x v="1"/>
    <m/>
    <m/>
    <n v="0"/>
    <n v="0"/>
    <s v=""/>
    <s v=""/>
    <m/>
    <m/>
    <m/>
    <m/>
    <m/>
    <m/>
    <m/>
    <m/>
    <m/>
    <m/>
    <m/>
    <m/>
    <x v="3"/>
  </r>
  <r>
    <m/>
    <x v="1"/>
    <x v="1"/>
    <m/>
    <m/>
    <n v="0"/>
    <n v="0"/>
    <s v=""/>
    <m/>
    <m/>
    <m/>
    <m/>
    <m/>
    <m/>
    <m/>
    <m/>
    <m/>
    <m/>
    <m/>
    <m/>
    <m/>
    <x v="3"/>
  </r>
  <r>
    <m/>
    <x v="1"/>
    <x v="1"/>
    <m/>
    <m/>
    <n v="0"/>
    <n v="0"/>
    <s v=""/>
    <s v=""/>
    <m/>
    <m/>
    <m/>
    <m/>
    <m/>
    <m/>
    <m/>
    <m/>
    <m/>
    <m/>
    <m/>
    <m/>
    <x v="3"/>
  </r>
  <r>
    <m/>
    <x v="1"/>
    <x v="1"/>
    <m/>
    <m/>
    <n v="0"/>
    <n v="0"/>
    <s v=""/>
    <m/>
    <m/>
    <m/>
    <m/>
    <m/>
    <m/>
    <m/>
    <m/>
    <m/>
    <m/>
    <m/>
    <m/>
    <m/>
    <x v="3"/>
  </r>
  <r>
    <m/>
    <x v="1"/>
    <x v="1"/>
    <m/>
    <m/>
    <n v="0"/>
    <n v="0"/>
    <s v=""/>
    <s v=""/>
    <m/>
    <m/>
    <m/>
    <m/>
    <m/>
    <m/>
    <m/>
    <m/>
    <m/>
    <m/>
    <m/>
    <m/>
    <x v="3"/>
  </r>
  <r>
    <m/>
    <x v="1"/>
    <x v="1"/>
    <m/>
    <m/>
    <n v="0"/>
    <n v="0"/>
    <s v=""/>
    <m/>
    <m/>
    <m/>
    <m/>
    <m/>
    <m/>
    <m/>
    <m/>
    <m/>
    <m/>
    <m/>
    <m/>
    <m/>
    <x v="3"/>
  </r>
  <r>
    <s v="NC 2021 - SEI 8951921"/>
    <x v="2"/>
    <x v="0"/>
    <s v="01/2021"/>
    <n v="1801472.7"/>
    <n v="0"/>
    <n v="1814033.9908278328"/>
    <n v="0"/>
    <s v=""/>
    <m/>
    <m/>
    <m/>
    <m/>
    <m/>
    <m/>
    <m/>
    <m/>
    <m/>
    <m/>
    <m/>
    <m/>
    <x v="5"/>
  </r>
  <r>
    <s v="NC 2021 - SEI 8951921"/>
    <x v="2"/>
    <x v="0"/>
    <s v="02/2021"/>
    <n v="524400"/>
    <n v="0"/>
    <n v="528056.53107599996"/>
    <n v="0"/>
    <s v=""/>
    <m/>
    <m/>
    <m/>
    <m/>
    <m/>
    <m/>
    <m/>
    <m/>
    <m/>
    <m/>
    <m/>
    <m/>
    <x v="5"/>
  </r>
  <r>
    <s v="NC 2021 - SEI 8951921"/>
    <x v="2"/>
    <x v="0"/>
    <s v="03/2021"/>
    <n v="5225812"/>
    <n v="0"/>
    <n v="5262250.4896554798"/>
    <n v="0"/>
    <s v=""/>
    <m/>
    <m/>
    <m/>
    <m/>
    <m/>
    <m/>
    <m/>
    <m/>
    <m/>
    <m/>
    <m/>
    <m/>
    <x v="5"/>
  </r>
  <r>
    <s v="NC 2021 - SEI 8951921"/>
    <x v="3"/>
    <x v="0"/>
    <s v="04/2021"/>
    <n v="13278264.4"/>
    <n v="0"/>
    <n v="13370850.949225677"/>
    <n v="0"/>
    <s v=""/>
    <m/>
    <m/>
    <m/>
    <m/>
    <m/>
    <m/>
    <m/>
    <m/>
    <m/>
    <m/>
    <m/>
    <m/>
    <x v="5"/>
  </r>
  <r>
    <s v="NC 2021 - SEI 8951921"/>
    <x v="4"/>
    <x v="0"/>
    <s v="05/2021"/>
    <n v="1544762"/>
    <n v="0"/>
    <n v="1555533.3010259799"/>
    <n v="0"/>
    <s v=""/>
    <m/>
    <m/>
    <m/>
    <m/>
    <m/>
    <m/>
    <m/>
    <m/>
    <m/>
    <m/>
    <m/>
    <m/>
    <x v="5"/>
  </r>
  <r>
    <s v="NC 2021 - SEI 8951921"/>
    <x v="5"/>
    <x v="0"/>
    <s v="06/2021"/>
    <n v="1411014.44"/>
    <n v="0"/>
    <n v="1420853.1473770875"/>
    <n v="0"/>
    <s v=""/>
    <m/>
    <m/>
    <m/>
    <m/>
    <m/>
    <m/>
    <m/>
    <m/>
    <m/>
    <m/>
    <m/>
    <m/>
    <x v="5"/>
  </r>
  <r>
    <s v="NC 2021 - SEI 8951921"/>
    <x v="5"/>
    <x v="0"/>
    <s v="07/2021"/>
    <n v="2245000"/>
    <n v="0"/>
    <n v="2260653.9135500002"/>
    <n v="0"/>
    <s v=""/>
    <m/>
    <m/>
    <m/>
    <m/>
    <m/>
    <m/>
    <m/>
    <m/>
    <m/>
    <m/>
    <m/>
    <m/>
    <x v="5"/>
  </r>
  <r>
    <s v="NC 2021 - SEI 8951921"/>
    <x v="5"/>
    <x v="0"/>
    <s v="08/2021"/>
    <n v="2752000"/>
    <n v="0"/>
    <n v="2771189.1180799999"/>
    <n v="0"/>
    <s v=""/>
    <m/>
    <m/>
    <m/>
    <m/>
    <m/>
    <m/>
    <m/>
    <m/>
    <m/>
    <m/>
    <m/>
    <m/>
    <x v="5"/>
  </r>
  <r>
    <s v="NC 2021 - SEI 8951921"/>
    <x v="6"/>
    <x v="0"/>
    <s v="09/2021"/>
    <n v="750000"/>
    <n v="0"/>
    <n v="755229.59250000003"/>
    <n v="0"/>
    <s v=""/>
    <m/>
    <m/>
    <m/>
    <m/>
    <m/>
    <m/>
    <m/>
    <m/>
    <m/>
    <m/>
    <m/>
    <m/>
    <x v="5"/>
  </r>
  <r>
    <s v="NC 2021 - SEI 8951921"/>
    <x v="7"/>
    <x v="0"/>
    <s v="10/2021"/>
    <n v="490000"/>
    <n v="0"/>
    <n v="493416.66710000002"/>
    <n v="0"/>
    <s v=""/>
    <m/>
    <m/>
    <m/>
    <m/>
    <m/>
    <m/>
    <m/>
    <m/>
    <m/>
    <m/>
    <m/>
    <m/>
    <x v="5"/>
  </r>
  <r>
    <s v="NC 2021 - SEI 8951921"/>
    <x v="7"/>
    <x v="0"/>
    <s v="11/2021"/>
    <n v="831400"/>
    <n v="0"/>
    <n v="837197.17760599998"/>
    <n v="0"/>
    <s v=""/>
    <m/>
    <m/>
    <m/>
    <m/>
    <m/>
    <m/>
    <m/>
    <m/>
    <m/>
    <m/>
    <m/>
    <m/>
    <x v="5"/>
  </r>
  <r>
    <s v="NC 2021 - SEI 8951921"/>
    <x v="8"/>
    <x v="0"/>
    <s v="12/2021"/>
    <n v="207000"/>
    <n v="0"/>
    <n v="208443.36752999999"/>
    <n v="0"/>
    <s v=""/>
    <m/>
    <m/>
    <m/>
    <m/>
    <m/>
    <m/>
    <m/>
    <m/>
    <m/>
    <m/>
    <m/>
    <m/>
    <x v="5"/>
  </r>
  <r>
    <s v="NC 2021 - SEI 8951921"/>
    <x v="9"/>
    <x v="0"/>
    <s v="13/2021"/>
    <n v="97197.71"/>
    <n v="0"/>
    <n v="97875.449220310911"/>
    <n v="0"/>
    <s v=""/>
    <m/>
    <m/>
    <m/>
    <m/>
    <m/>
    <m/>
    <m/>
    <m/>
    <m/>
    <m/>
    <m/>
    <m/>
    <x v="5"/>
  </r>
  <r>
    <s v="NC 2021 - SEI 8951921"/>
    <x v="10"/>
    <x v="0"/>
    <s v="14/2021"/>
    <n v="138500"/>
    <n v="0"/>
    <n v="139465.73141499999"/>
    <n v="0"/>
    <s v=""/>
    <m/>
    <m/>
    <m/>
    <m/>
    <m/>
    <m/>
    <m/>
    <m/>
    <m/>
    <m/>
    <m/>
    <m/>
    <x v="5"/>
  </r>
  <r>
    <s v="NC 2021 - SEI 8951921"/>
    <x v="11"/>
    <x v="0"/>
    <s v="15/2021"/>
    <n v="207000"/>
    <n v="0"/>
    <n v="208443.36752999999"/>
    <n v="0"/>
    <s v=""/>
    <m/>
    <m/>
    <m/>
    <m/>
    <m/>
    <m/>
    <m/>
    <m/>
    <m/>
    <m/>
    <m/>
    <m/>
    <x v="5"/>
  </r>
  <r>
    <s v="NC 2021 - SEI 8951921"/>
    <x v="12"/>
    <x v="0"/>
    <s v="16/2021"/>
    <n v="208000"/>
    <n v="0"/>
    <n v="209450.34031999999"/>
    <n v="0"/>
    <s v=""/>
    <m/>
    <m/>
    <m/>
    <m/>
    <m/>
    <m/>
    <m/>
    <m/>
    <m/>
    <m/>
    <m/>
    <m/>
    <x v="5"/>
  </r>
  <r>
    <s v="NC 2021 - SEI 8951921"/>
    <x v="13"/>
    <x v="0"/>
    <s v="17/2021"/>
    <n v="400000"/>
    <n v="0"/>
    <n v="402789.11599999998"/>
    <n v="0"/>
    <s v=""/>
    <m/>
    <m/>
    <m/>
    <m/>
    <m/>
    <m/>
    <m/>
    <m/>
    <m/>
    <m/>
    <m/>
    <m/>
    <x v="5"/>
  </r>
  <r>
    <s v="NC 2021 - SEI 8951921"/>
    <x v="14"/>
    <x v="0"/>
    <s v="18/2021"/>
    <n v="281339.24"/>
    <n v="0"/>
    <n v="283300.95943927957"/>
    <n v="0"/>
    <s v=""/>
    <m/>
    <m/>
    <m/>
    <m/>
    <m/>
    <m/>
    <m/>
    <m/>
    <m/>
    <m/>
    <m/>
    <m/>
    <x v="5"/>
  </r>
  <r>
    <s v="NC 2021 - SEI 8951921"/>
    <x v="15"/>
    <x v="0"/>
    <s v="19/2021"/>
    <n v="81587.97"/>
    <n v="0"/>
    <n v="82156.865781336295"/>
    <n v="0"/>
    <s v=""/>
    <m/>
    <m/>
    <m/>
    <m/>
    <m/>
    <m/>
    <m/>
    <m/>
    <m/>
    <m/>
    <m/>
    <m/>
    <x v="5"/>
  </r>
  <r>
    <s v="NC 2021 - SEI 8951921"/>
    <x v="16"/>
    <x v="0"/>
    <s v="20/2021"/>
    <n v="881417.69"/>
    <n v="0"/>
    <n v="887563.63045465504"/>
    <n v="0"/>
    <s v=""/>
    <m/>
    <m/>
    <m/>
    <m/>
    <m/>
    <m/>
    <m/>
    <m/>
    <m/>
    <m/>
    <m/>
    <m/>
    <x v="5"/>
  </r>
  <r>
    <s v="NC 2021 - SEI 8951921"/>
    <x v="17"/>
    <x v="0"/>
    <s v="22/2021"/>
    <n v="502796.02"/>
    <n v="0"/>
    <n v="506301.91106029582"/>
    <n v="0"/>
    <s v=""/>
    <m/>
    <m/>
    <m/>
    <m/>
    <m/>
    <m/>
    <m/>
    <m/>
    <m/>
    <m/>
    <m/>
    <m/>
    <x v="5"/>
  </r>
  <r>
    <s v="NC 2021 - SEI 8951921"/>
    <x v="18"/>
    <x v="0"/>
    <s v="23/2021"/>
    <n v="207000"/>
    <n v="0"/>
    <n v="208443.36752999999"/>
    <n v="0"/>
    <s v=""/>
    <m/>
    <m/>
    <m/>
    <m/>
    <m/>
    <m/>
    <m/>
    <m/>
    <m/>
    <m/>
    <m/>
    <m/>
    <x v="5"/>
  </r>
  <r>
    <s v="NC 2021 - SEI 8951921"/>
    <x v="19"/>
    <x v="0"/>
    <s v="24/2021"/>
    <n v="72167.81"/>
    <n v="0"/>
    <n v="72671.020983889903"/>
    <n v="0"/>
    <s v=""/>
    <m/>
    <m/>
    <m/>
    <m/>
    <m/>
    <m/>
    <m/>
    <m/>
    <m/>
    <m/>
    <m/>
    <m/>
    <x v="5"/>
  </r>
  <r>
    <s v="NC 2021 - SEI 8951921"/>
    <x v="20"/>
    <x v="0"/>
    <s v="25/2021"/>
    <n v="9098.42"/>
    <n v="0"/>
    <n v="9161.8613719917994"/>
    <n v="0"/>
    <s v=""/>
    <m/>
    <m/>
    <m/>
    <m/>
    <m/>
    <m/>
    <m/>
    <m/>
    <m/>
    <m/>
    <m/>
    <m/>
    <x v="5"/>
  </r>
  <r>
    <s v="NC 2021 - SEI 8951921"/>
    <x v="21"/>
    <x v="0"/>
    <s v="26/2021"/>
    <n v="207000"/>
    <n v="0"/>
    <n v="208443.36752999999"/>
    <n v="0"/>
    <s v=""/>
    <m/>
    <m/>
    <m/>
    <m/>
    <m/>
    <m/>
    <m/>
    <m/>
    <m/>
    <m/>
    <m/>
    <m/>
    <x v="5"/>
  </r>
  <r>
    <s v="NC 2021 - SEI 8951921"/>
    <x v="22"/>
    <x v="0"/>
    <s v="27/2021"/>
    <n v="102000"/>
    <n v="0"/>
    <n v="102711.22457999999"/>
    <n v="0"/>
    <s v=""/>
    <m/>
    <m/>
    <m/>
    <m/>
    <m/>
    <m/>
    <m/>
    <m/>
    <m/>
    <m/>
    <m/>
    <m/>
    <x v="5"/>
  </r>
  <r>
    <s v="NC 2021 - SEI 8951921"/>
    <x v="23"/>
    <x v="0"/>
    <s v="28/2021"/>
    <n v="345000"/>
    <n v="0"/>
    <n v="347405.61255000002"/>
    <n v="0"/>
    <s v=""/>
    <m/>
    <m/>
    <m/>
    <m/>
    <m/>
    <m/>
    <m/>
    <m/>
    <m/>
    <m/>
    <m/>
    <m/>
    <x v="5"/>
  </r>
  <r>
    <s v="NC 2021 - SEI 8951921"/>
    <x v="24"/>
    <x v="0"/>
    <s v="29/2021"/>
    <n v="430000"/>
    <n v="0"/>
    <n v="432998.29969999997"/>
    <n v="0"/>
    <s v=""/>
    <m/>
    <m/>
    <m/>
    <m/>
    <m/>
    <m/>
    <m/>
    <m/>
    <m/>
    <m/>
    <m/>
    <m/>
    <x v="5"/>
  </r>
  <r>
    <s v="NC 2021 - SEI 8951921"/>
    <x v="25"/>
    <x v="0"/>
    <s v="30/2021"/>
    <n v="66102.3"/>
    <n v="0"/>
    <n v="66563.217456416998"/>
    <n v="0"/>
    <s v=""/>
    <m/>
    <m/>
    <m/>
    <m/>
    <m/>
    <m/>
    <m/>
    <m/>
    <m/>
    <m/>
    <m/>
    <m/>
    <x v="5"/>
  </r>
  <r>
    <s v="NC 2021 - SEI 8951921"/>
    <x v="26"/>
    <x v="0"/>
    <s v="31/2021"/>
    <n v="3253.19"/>
    <n v="0"/>
    <n v="3275.8738107001"/>
    <n v="0"/>
    <s v=""/>
    <m/>
    <m/>
    <m/>
    <m/>
    <m/>
    <m/>
    <m/>
    <m/>
    <m/>
    <m/>
    <m/>
    <m/>
    <x v="5"/>
  </r>
  <r>
    <s v="NC 2021 - SEI 8951921"/>
    <x v="27"/>
    <x v="0"/>
    <s v="32/2021"/>
    <n v="207000"/>
    <n v="0"/>
    <n v="208443.36752999999"/>
    <n v="0"/>
    <s v=""/>
    <m/>
    <m/>
    <m/>
    <m/>
    <m/>
    <m/>
    <m/>
    <m/>
    <m/>
    <m/>
    <m/>
    <m/>
    <x v="5"/>
  </r>
  <r>
    <s v="NC 2021 - SEI 8951921"/>
    <x v="28"/>
    <x v="0"/>
    <s v="33/2021"/>
    <n v="408375.1"/>
    <n v="0"/>
    <n v="411222.61381352897"/>
    <n v="0"/>
    <s v=""/>
    <m/>
    <m/>
    <m/>
    <m/>
    <m/>
    <m/>
    <m/>
    <m/>
    <m/>
    <m/>
    <m/>
    <m/>
    <x v="5"/>
  </r>
  <r>
    <s v="NC 2021 - SEI 8951921"/>
    <x v="29"/>
    <x v="0"/>
    <s v="34/2021"/>
    <n v="207000"/>
    <n v="0"/>
    <n v="208443.36752999999"/>
    <n v="0"/>
    <s v=""/>
    <m/>
    <m/>
    <m/>
    <m/>
    <m/>
    <m/>
    <m/>
    <m/>
    <m/>
    <m/>
    <m/>
    <m/>
    <x v="5"/>
  </r>
  <r>
    <s v="NC 2021 - SEI 8951921"/>
    <x v="30"/>
    <x v="0"/>
    <s v="35/2021"/>
    <n v="15392427.09"/>
    <n v="0"/>
    <n v="15499755.251688881"/>
    <n v="0"/>
    <s v=""/>
    <m/>
    <m/>
    <m/>
    <m/>
    <m/>
    <m/>
    <m/>
    <m/>
    <m/>
    <m/>
    <m/>
    <m/>
    <x v="5"/>
  </r>
  <r>
    <s v="NC 2021 - SEI 8951921"/>
    <x v="30"/>
    <x v="0"/>
    <s v="36/2021"/>
    <n v="3688000"/>
    <n v="0"/>
    <n v="3713715.64952"/>
    <n v="0"/>
    <s v=""/>
    <m/>
    <m/>
    <m/>
    <m/>
    <m/>
    <m/>
    <m/>
    <m/>
    <m/>
    <m/>
    <m/>
    <m/>
    <x v="5"/>
  </r>
  <r>
    <s v="NC 2021 - SEI 8951921"/>
    <x v="30"/>
    <x v="0"/>
    <s v="37/2021"/>
    <n v="10000000"/>
    <n v="0"/>
    <n v="10069727.9"/>
    <n v="0"/>
    <s v=""/>
    <m/>
    <m/>
    <m/>
    <m/>
    <m/>
    <m/>
    <m/>
    <m/>
    <m/>
    <m/>
    <m/>
    <m/>
    <x v="5"/>
  </r>
  <r>
    <s v="NC 2021 - SEI 8951921"/>
    <x v="31"/>
    <x v="0"/>
    <s v="38/2021"/>
    <n v="16863198"/>
    <n v="0"/>
    <n v="16980781.538382418"/>
    <n v="0"/>
    <s v=""/>
    <m/>
    <m/>
    <m/>
    <m/>
    <m/>
    <m/>
    <m/>
    <m/>
    <m/>
    <m/>
    <m/>
    <m/>
    <x v="5"/>
  </r>
  <r>
    <s v="NC 2021 - SEI 8951921"/>
    <x v="31"/>
    <x v="0"/>
    <s v="39/2021"/>
    <n v="3681000"/>
    <n v="0"/>
    <n v="3706666.8399899998"/>
    <n v="0"/>
    <s v=""/>
    <m/>
    <m/>
    <m/>
    <m/>
    <m/>
    <m/>
    <m/>
    <m/>
    <m/>
    <m/>
    <m/>
    <m/>
    <x v="5"/>
  </r>
  <r>
    <s v="NC 2021 - SEI 8951921"/>
    <x v="32"/>
    <x v="0"/>
    <s v="40/2021"/>
    <n v="625930.5"/>
    <n v="0"/>
    <n v="630294.98193109501"/>
    <n v="0"/>
    <s v=""/>
    <m/>
    <m/>
    <m/>
    <m/>
    <m/>
    <m/>
    <m/>
    <m/>
    <m/>
    <m/>
    <m/>
    <m/>
    <x v="5"/>
  </r>
  <r>
    <s v="NC 2021 - SEI 8951921"/>
    <x v="33"/>
    <x v="0"/>
    <s v="41/2021"/>
    <n v="107800"/>
    <n v="0"/>
    <n v="108551.66676199999"/>
    <n v="0"/>
    <s v=""/>
    <m/>
    <m/>
    <m/>
    <m/>
    <m/>
    <m/>
    <m/>
    <m/>
    <m/>
    <m/>
    <m/>
    <m/>
    <x v="5"/>
  </r>
  <r>
    <s v="NC 2021 - SEI 8951921"/>
    <x v="34"/>
    <x v="0"/>
    <s v="42/2021"/>
    <n v="414000"/>
    <n v="0"/>
    <n v="416886.73505999998"/>
    <n v="0"/>
    <s v=""/>
    <m/>
    <m/>
    <m/>
    <m/>
    <m/>
    <m/>
    <m/>
    <m/>
    <m/>
    <m/>
    <m/>
    <m/>
    <x v="5"/>
  </r>
  <r>
    <s v="NC 2021 - SEI 8951921"/>
    <x v="0"/>
    <x v="0"/>
    <s v="43/2021"/>
    <n v="46400"/>
    <n v="0"/>
    <n v="46723.537455999998"/>
    <n v="0"/>
    <s v=""/>
    <m/>
    <m/>
    <m/>
    <m/>
    <m/>
    <m/>
    <m/>
    <m/>
    <m/>
    <m/>
    <m/>
    <m/>
    <x v="5"/>
  </r>
  <r>
    <s v="NC 2021 - SEI 8951921"/>
    <x v="35"/>
    <x v="0"/>
    <s v="44/2021"/>
    <n v="343031.28"/>
    <n v="0"/>
    <n v="345423.16507887124"/>
    <n v="0"/>
    <s v=""/>
    <m/>
    <m/>
    <m/>
    <m/>
    <m/>
    <m/>
    <m/>
    <m/>
    <m/>
    <m/>
    <m/>
    <m/>
    <x v="5"/>
  </r>
  <r>
    <s v="NC 2021 - SEI 8951921"/>
    <x v="36"/>
    <x v="0"/>
    <s v="45/2021"/>
    <n v="284986"/>
    <n v="0"/>
    <n v="286973.14753094001"/>
    <n v="0"/>
    <s v=""/>
    <m/>
    <m/>
    <m/>
    <m/>
    <m/>
    <m/>
    <m/>
    <m/>
    <m/>
    <m/>
    <m/>
    <m/>
    <x v="5"/>
  </r>
  <r>
    <s v="NC 2021 - SEI 8951921"/>
    <x v="37"/>
    <x v="0"/>
    <s v="46/2021"/>
    <n v="345000"/>
    <n v="0"/>
    <n v="347405.61255000002"/>
    <n v="0"/>
    <s v=""/>
    <m/>
    <m/>
    <m/>
    <m/>
    <m/>
    <m/>
    <m/>
    <m/>
    <m/>
    <m/>
    <m/>
    <m/>
    <x v="5"/>
  </r>
  <r>
    <s v="NC 2021 - SEI 8951921"/>
    <x v="38"/>
    <x v="0"/>
    <s v="47/2021"/>
    <n v="309000"/>
    <n v="0"/>
    <n v="311154.59211000003"/>
    <n v="0"/>
    <s v=""/>
    <m/>
    <m/>
    <m/>
    <m/>
    <m/>
    <m/>
    <m/>
    <m/>
    <m/>
    <m/>
    <m/>
    <m/>
    <x v="5"/>
  </r>
  <r>
    <s v="NC 2021 - SEI 8952142"/>
    <x v="2"/>
    <x v="2"/>
    <s v="48/2021"/>
    <n v="608000"/>
    <n v="0"/>
    <n v="612239.45632"/>
    <n v="0"/>
    <m/>
    <m/>
    <m/>
    <m/>
    <m/>
    <m/>
    <m/>
    <m/>
    <m/>
    <m/>
    <m/>
    <m/>
    <m/>
    <x v="5"/>
  </r>
  <r>
    <s v="NC 2021 - SEI 8952142"/>
    <x v="2"/>
    <x v="2"/>
    <s v="49/2021"/>
    <n v="175000"/>
    <n v="0"/>
    <n v="176220.23824999999"/>
    <n v="0"/>
    <m/>
    <m/>
    <m/>
    <m/>
    <m/>
    <m/>
    <m/>
    <m/>
    <m/>
    <m/>
    <m/>
    <m/>
    <m/>
    <x v="5"/>
  </r>
  <r>
    <s v="NC 2021 - SEI 8952142"/>
    <x v="2"/>
    <x v="2"/>
    <s v="50/2021"/>
    <n v="750000"/>
    <n v="0"/>
    <n v="755229.59250000003"/>
    <n v="0"/>
    <m/>
    <m/>
    <m/>
    <m/>
    <m/>
    <m/>
    <m/>
    <m/>
    <m/>
    <m/>
    <m/>
    <m/>
    <m/>
    <x v="5"/>
  </r>
  <r>
    <s v="NC 2021 - SEI 8952142"/>
    <x v="3"/>
    <x v="2"/>
    <s v="51/2021"/>
    <n v="5200000"/>
    <n v="0"/>
    <n v="5236258.5080000004"/>
    <n v="0"/>
    <m/>
    <m/>
    <m/>
    <m/>
    <m/>
    <m/>
    <m/>
    <m/>
    <m/>
    <m/>
    <m/>
    <m/>
    <m/>
    <x v="5"/>
  </r>
  <r>
    <s v="NC 2021 - SEI 8952142"/>
    <x v="4"/>
    <x v="2"/>
    <s v="52/2021"/>
    <n v="695280"/>
    <n v="0"/>
    <n v="700128.04143119999"/>
    <n v="0"/>
    <m/>
    <m/>
    <m/>
    <m/>
    <m/>
    <m/>
    <m/>
    <m/>
    <m/>
    <m/>
    <m/>
    <m/>
    <m/>
    <x v="5"/>
  </r>
  <r>
    <s v="NC 2021 - SEI 8952142"/>
    <x v="5"/>
    <x v="2"/>
    <s v="53/2021"/>
    <n v="783000"/>
    <n v="0"/>
    <n v="788459.69457000005"/>
    <n v="0"/>
    <m/>
    <m/>
    <m/>
    <m/>
    <m/>
    <m/>
    <m/>
    <m/>
    <m/>
    <m/>
    <m/>
    <m/>
    <m/>
    <x v="5"/>
  </r>
  <r>
    <s v="NC 2021 - SEI 8952142"/>
    <x v="5"/>
    <x v="2"/>
    <s v="54/2021"/>
    <n v="840153.99"/>
    <n v="0"/>
    <n v="846012.20733993209"/>
    <n v="0"/>
    <m/>
    <m/>
    <m/>
    <m/>
    <m/>
    <m/>
    <m/>
    <m/>
    <m/>
    <m/>
    <m/>
    <m/>
    <m/>
    <x v="5"/>
  </r>
  <r>
    <s v="NC 2021 - SEI 8952142"/>
    <x v="7"/>
    <x v="2"/>
    <s v="55/2021"/>
    <n v="184000"/>
    <n v="0"/>
    <n v="185282.99335999999"/>
    <n v="0"/>
    <m/>
    <m/>
    <m/>
    <m/>
    <m/>
    <m/>
    <m/>
    <m/>
    <m/>
    <m/>
    <m/>
    <m/>
    <m/>
    <x v="5"/>
  </r>
  <r>
    <s v="NC 2021 - SEI 8952142"/>
    <x v="7"/>
    <x v="2"/>
    <s v="56/2021"/>
    <n v="312420"/>
    <n v="0"/>
    <n v="314598.4390518"/>
    <n v="0"/>
    <m/>
    <m/>
    <m/>
    <m/>
    <m/>
    <m/>
    <m/>
    <m/>
    <m/>
    <m/>
    <m/>
    <m/>
    <m/>
    <x v="5"/>
  </r>
  <r>
    <s v="NC 2021 - SEI 8952142"/>
    <x v="10"/>
    <x v="2"/>
    <s v="57/2021"/>
    <n v="61500"/>
    <n v="0"/>
    <n v="61928.826585000003"/>
    <n v="0"/>
    <m/>
    <m/>
    <m/>
    <m/>
    <m/>
    <m/>
    <m/>
    <m/>
    <m/>
    <m/>
    <m/>
    <m/>
    <m/>
    <x v="5"/>
  </r>
  <r>
    <s v="NC 2021 - SEI 8952142"/>
    <x v="11"/>
    <x v="2"/>
    <s v="58/2021"/>
    <n v="93000"/>
    <n v="0"/>
    <n v="93648.469469999996"/>
    <n v="0"/>
    <m/>
    <m/>
    <m/>
    <m/>
    <m/>
    <m/>
    <m/>
    <m/>
    <m/>
    <m/>
    <m/>
    <m/>
    <m/>
    <x v="5"/>
  </r>
  <r>
    <s v="NC 2021 - SEI 8952142"/>
    <x v="12"/>
    <x v="2"/>
    <s v="59/2021"/>
    <n v="92000"/>
    <n v="0"/>
    <n v="92641.496679999997"/>
    <n v="0"/>
    <m/>
    <m/>
    <m/>
    <m/>
    <m/>
    <m/>
    <m/>
    <m/>
    <m/>
    <m/>
    <m/>
    <m/>
    <m/>
    <x v="5"/>
  </r>
  <r>
    <s v="NC 2021 - SEI 8952142"/>
    <x v="15"/>
    <x v="2"/>
    <s v="60/2021"/>
    <n v="41880"/>
    <n v="0"/>
    <n v="42172.020445200003"/>
    <n v="0"/>
    <m/>
    <m/>
    <m/>
    <m/>
    <m/>
    <m/>
    <m/>
    <m/>
    <m/>
    <m/>
    <m/>
    <m/>
    <m/>
    <x v="5"/>
  </r>
  <r>
    <s v="NC 2021 - SEI 8952142"/>
    <x v="16"/>
    <x v="2"/>
    <s v="61/2021"/>
    <n v="368544"/>
    <n v="0"/>
    <n v="371113.77991776"/>
    <n v="0"/>
    <m/>
    <m/>
    <m/>
    <m/>
    <m/>
    <m/>
    <m/>
    <m/>
    <m/>
    <m/>
    <m/>
    <m/>
    <m/>
    <x v="5"/>
  </r>
  <r>
    <s v="NC 2021 - SEI 8952142"/>
    <x v="18"/>
    <x v="2"/>
    <s v="62/2021"/>
    <n v="93000"/>
    <n v="0"/>
    <n v="93648.469469999996"/>
    <n v="0"/>
    <m/>
    <m/>
    <m/>
    <m/>
    <m/>
    <m/>
    <m/>
    <m/>
    <m/>
    <m/>
    <m/>
    <m/>
    <m/>
    <x v="5"/>
  </r>
  <r>
    <s v="NC 2021 - SEI 8952142"/>
    <x v="21"/>
    <x v="2"/>
    <s v="63/2021"/>
    <n v="93000"/>
    <n v="0"/>
    <n v="93648.469469999996"/>
    <n v="0"/>
    <m/>
    <m/>
    <m/>
    <m/>
    <m/>
    <m/>
    <m/>
    <m/>
    <m/>
    <m/>
    <m/>
    <m/>
    <m/>
    <x v="5"/>
  </r>
  <r>
    <s v="NC 2021 - SEI 8952142"/>
    <x v="22"/>
    <x v="2"/>
    <s v="64/2021"/>
    <n v="48000"/>
    <n v="0"/>
    <n v="48334.693919999998"/>
    <n v="0"/>
    <m/>
    <m/>
    <m/>
    <m/>
    <m/>
    <m/>
    <m/>
    <m/>
    <m/>
    <m/>
    <m/>
    <m/>
    <m/>
    <x v="5"/>
  </r>
  <r>
    <s v="NC 2021 - SEI 8952142"/>
    <x v="23"/>
    <x v="2"/>
    <s v="65/2021"/>
    <n v="155000"/>
    <n v="0"/>
    <n v="156080.78245"/>
    <n v="0"/>
    <m/>
    <m/>
    <m/>
    <m/>
    <m/>
    <m/>
    <m/>
    <m/>
    <m/>
    <m/>
    <m/>
    <m/>
    <m/>
    <x v="5"/>
  </r>
  <r>
    <s v="NC 2021 - SEI 8952142"/>
    <x v="24"/>
    <x v="2"/>
    <s v="66/2021"/>
    <n v="170000"/>
    <n v="0"/>
    <n v="171185.3743"/>
    <n v="0"/>
    <m/>
    <m/>
    <m/>
    <m/>
    <m/>
    <m/>
    <m/>
    <m/>
    <m/>
    <m/>
    <m/>
    <m/>
    <m/>
    <x v="5"/>
  </r>
  <r>
    <s v="NC 2021 - SEI 8952142"/>
    <x v="26"/>
    <x v="2"/>
    <s v="67/2021"/>
    <n v="93000"/>
    <n v="0"/>
    <n v="93648.469469999996"/>
    <n v="0"/>
    <m/>
    <m/>
    <m/>
    <m/>
    <m/>
    <m/>
    <m/>
    <m/>
    <m/>
    <m/>
    <m/>
    <m/>
    <m/>
    <x v="5"/>
  </r>
  <r>
    <s v="NC 2021 - SEI 8952142"/>
    <x v="27"/>
    <x v="2"/>
    <s v="68/2021"/>
    <n v="93000"/>
    <n v="0"/>
    <n v="93648.469469999996"/>
    <n v="0"/>
    <m/>
    <m/>
    <m/>
    <m/>
    <m/>
    <m/>
    <m/>
    <m/>
    <m/>
    <m/>
    <m/>
    <m/>
    <m/>
    <x v="5"/>
  </r>
  <r>
    <s v="NC 2021 - SEI 8952142"/>
    <x v="28"/>
    <x v="2"/>
    <s v="69/2021"/>
    <n v="170000"/>
    <n v="0"/>
    <n v="171185.3743"/>
    <n v="0"/>
    <m/>
    <m/>
    <m/>
    <m/>
    <m/>
    <m/>
    <m/>
    <m/>
    <m/>
    <m/>
    <m/>
    <m/>
    <m/>
    <x v="5"/>
  </r>
  <r>
    <s v="NC 2021 - SEI 8952142"/>
    <x v="29"/>
    <x v="2"/>
    <s v="70/2021"/>
    <n v="93000"/>
    <n v="0"/>
    <n v="93648.469469999996"/>
    <n v="0"/>
    <m/>
    <m/>
    <m/>
    <m/>
    <m/>
    <m/>
    <m/>
    <m/>
    <m/>
    <m/>
    <m/>
    <m/>
    <m/>
    <x v="5"/>
  </r>
  <r>
    <s v="NC 2021 - SEI 8952142"/>
    <x v="34"/>
    <x v="2"/>
    <s v="71/2021"/>
    <n v="192996"/>
    <n v="0"/>
    <n v="194341.72057884"/>
    <n v="0"/>
    <m/>
    <m/>
    <m/>
    <m/>
    <m/>
    <m/>
    <m/>
    <m/>
    <m/>
    <m/>
    <m/>
    <m/>
    <m/>
    <x v="5"/>
  </r>
  <r>
    <s v="NC 2021 - SEI 8952142"/>
    <x v="36"/>
    <x v="2"/>
    <s v="72/2021"/>
    <n v="132614"/>
    <n v="0"/>
    <n v="133538.68957305999"/>
    <n v="0"/>
    <m/>
    <m/>
    <m/>
    <m/>
    <m/>
    <m/>
    <m/>
    <m/>
    <m/>
    <m/>
    <m/>
    <m/>
    <m/>
    <x v="5"/>
  </r>
  <r>
    <s v="NC 2021 - SEI 8952142"/>
    <x v="38"/>
    <x v="2"/>
    <s v="73/2021"/>
    <n v="141000"/>
    <n v="0"/>
    <n v="141983.16339"/>
    <n v="0"/>
    <m/>
    <m/>
    <m/>
    <m/>
    <m/>
    <m/>
    <m/>
    <m/>
    <m/>
    <m/>
    <m/>
    <m/>
    <m/>
    <x v="5"/>
  </r>
  <r>
    <s v="NC 2021 - SEI 8952142"/>
    <x v="37"/>
    <x v="2"/>
    <s v="74/2021"/>
    <n v="155000"/>
    <n v="0"/>
    <n v="156080.78245"/>
    <n v="0"/>
    <m/>
    <m/>
    <m/>
    <m/>
    <m/>
    <m/>
    <m/>
    <m/>
    <m/>
    <m/>
    <m/>
    <m/>
    <m/>
    <x v="5"/>
  </r>
  <r>
    <s v="NC 2021 - SEI 8952142"/>
    <x v="39"/>
    <x v="2"/>
    <s v="75/2021"/>
    <n v="500000"/>
    <n v="0"/>
    <n v="503486.39500000002"/>
    <n v="0"/>
    <m/>
    <m/>
    <m/>
    <m/>
    <m/>
    <m/>
    <m/>
    <m/>
    <m/>
    <m/>
    <m/>
    <m/>
    <m/>
    <x v="5"/>
  </r>
  <r>
    <s v="NC 2021 - SEI 8952142"/>
    <x v="8"/>
    <x v="2"/>
    <s v="76/2021"/>
    <n v="93000"/>
    <n v="0"/>
    <n v="93648.469469999996"/>
    <n v="0"/>
    <m/>
    <m/>
    <m/>
    <m/>
    <m/>
    <m/>
    <m/>
    <m/>
    <m/>
    <m/>
    <m/>
    <m/>
    <m/>
    <x v="5"/>
  </r>
  <r>
    <s v="NC 2021 - SEI 8952142"/>
    <x v="25"/>
    <x v="2"/>
    <s v="77/2021"/>
    <n v="28000"/>
    <n v="0"/>
    <n v="28195.238120000002"/>
    <n v="0"/>
    <m/>
    <m/>
    <m/>
    <m/>
    <m/>
    <m/>
    <m/>
    <m/>
    <m/>
    <m/>
    <m/>
    <m/>
    <m/>
    <x v="5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9">
  <r>
    <s v="01250.013622/2020-71"/>
    <x v="0"/>
    <x v="0"/>
    <s v="2021NE000095"/>
    <n v="74324.41"/>
    <n v="0"/>
    <n v="74324.41"/>
    <n v="0"/>
    <s v=""/>
    <m/>
    <m/>
    <m/>
    <m/>
    <m/>
    <m/>
    <m/>
    <m/>
    <m/>
    <m/>
    <m/>
    <m/>
    <s v="TED"/>
  </r>
  <r>
    <m/>
    <x v="1"/>
    <x v="1"/>
    <m/>
    <m/>
    <n v="0"/>
    <n v="0"/>
    <s v=""/>
    <s v=""/>
    <m/>
    <m/>
    <m/>
    <m/>
    <m/>
    <m/>
    <m/>
    <m/>
    <m/>
    <m/>
    <m/>
    <m/>
    <m/>
  </r>
  <r>
    <m/>
    <x v="1"/>
    <x v="1"/>
    <m/>
    <m/>
    <n v="0"/>
    <n v="0"/>
    <s v=""/>
    <m/>
    <m/>
    <m/>
    <m/>
    <m/>
    <m/>
    <m/>
    <m/>
    <m/>
    <m/>
    <m/>
    <m/>
    <m/>
    <m/>
  </r>
  <r>
    <m/>
    <x v="1"/>
    <x v="1"/>
    <m/>
    <m/>
    <n v="0"/>
    <n v="0"/>
    <s v=""/>
    <m/>
    <m/>
    <m/>
    <m/>
    <m/>
    <m/>
    <m/>
    <m/>
    <m/>
    <m/>
    <m/>
    <m/>
    <m/>
    <m/>
  </r>
  <r>
    <m/>
    <x v="1"/>
    <x v="1"/>
    <m/>
    <m/>
    <n v="0"/>
    <n v="0"/>
    <s v=""/>
    <s v=""/>
    <m/>
    <m/>
    <m/>
    <m/>
    <m/>
    <m/>
    <m/>
    <m/>
    <m/>
    <m/>
    <m/>
    <m/>
    <m/>
  </r>
  <r>
    <m/>
    <x v="1"/>
    <x v="1"/>
    <m/>
    <m/>
    <n v="0"/>
    <n v="0"/>
    <s v=""/>
    <m/>
    <m/>
    <m/>
    <m/>
    <m/>
    <m/>
    <m/>
    <m/>
    <m/>
    <m/>
    <m/>
    <m/>
    <m/>
    <m/>
  </r>
  <r>
    <m/>
    <x v="1"/>
    <x v="1"/>
    <m/>
    <m/>
    <n v="0"/>
    <n v="0"/>
    <s v=""/>
    <s v=""/>
    <m/>
    <m/>
    <m/>
    <m/>
    <m/>
    <m/>
    <m/>
    <m/>
    <m/>
    <m/>
    <m/>
    <m/>
    <m/>
  </r>
  <r>
    <m/>
    <x v="1"/>
    <x v="1"/>
    <m/>
    <m/>
    <n v="0"/>
    <n v="0"/>
    <s v=""/>
    <m/>
    <m/>
    <m/>
    <m/>
    <m/>
    <m/>
    <m/>
    <m/>
    <m/>
    <m/>
    <m/>
    <m/>
    <m/>
    <m/>
  </r>
  <r>
    <m/>
    <x v="1"/>
    <x v="1"/>
    <m/>
    <m/>
    <n v="0"/>
    <n v="0"/>
    <s v=""/>
    <s v=""/>
    <m/>
    <m/>
    <m/>
    <m/>
    <m/>
    <m/>
    <m/>
    <m/>
    <m/>
    <m/>
    <m/>
    <m/>
    <m/>
  </r>
  <r>
    <m/>
    <x v="1"/>
    <x v="1"/>
    <m/>
    <m/>
    <n v="0"/>
    <n v="0"/>
    <s v=""/>
    <m/>
    <m/>
    <m/>
    <m/>
    <m/>
    <m/>
    <m/>
    <m/>
    <m/>
    <m/>
    <m/>
    <m/>
    <m/>
    <m/>
  </r>
  <r>
    <m/>
    <x v="1"/>
    <x v="1"/>
    <m/>
    <m/>
    <n v="0"/>
    <n v="0"/>
    <s v=""/>
    <s v=""/>
    <m/>
    <m/>
    <m/>
    <m/>
    <m/>
    <m/>
    <m/>
    <m/>
    <m/>
    <m/>
    <m/>
    <m/>
    <m/>
  </r>
  <r>
    <m/>
    <x v="1"/>
    <x v="1"/>
    <m/>
    <m/>
    <n v="0"/>
    <n v="0"/>
    <s v=""/>
    <s v=""/>
    <m/>
    <m/>
    <m/>
    <m/>
    <m/>
    <m/>
    <m/>
    <m/>
    <m/>
    <m/>
    <m/>
    <m/>
    <m/>
  </r>
  <r>
    <m/>
    <x v="1"/>
    <x v="1"/>
    <m/>
    <m/>
    <n v="0"/>
    <n v="0"/>
    <s v=""/>
    <s v=""/>
    <m/>
    <m/>
    <m/>
    <m/>
    <m/>
    <m/>
    <m/>
    <m/>
    <m/>
    <m/>
    <m/>
    <m/>
    <m/>
  </r>
  <r>
    <m/>
    <x v="1"/>
    <x v="1"/>
    <m/>
    <m/>
    <n v="0"/>
    <n v="0"/>
    <s v=""/>
    <m/>
    <m/>
    <m/>
    <m/>
    <m/>
    <m/>
    <m/>
    <m/>
    <m/>
    <m/>
    <m/>
    <m/>
    <m/>
    <m/>
  </r>
  <r>
    <m/>
    <x v="1"/>
    <x v="1"/>
    <m/>
    <m/>
    <n v="0"/>
    <n v="0"/>
    <s v=""/>
    <m/>
    <m/>
    <m/>
    <m/>
    <m/>
    <m/>
    <m/>
    <m/>
    <m/>
    <m/>
    <m/>
    <m/>
    <m/>
    <m/>
  </r>
  <r>
    <m/>
    <x v="1"/>
    <x v="1"/>
    <m/>
    <m/>
    <n v="0"/>
    <n v="0"/>
    <s v=""/>
    <s v=""/>
    <m/>
    <m/>
    <m/>
    <m/>
    <m/>
    <m/>
    <m/>
    <m/>
    <m/>
    <m/>
    <m/>
    <m/>
    <s v="Em. Comissão"/>
  </r>
  <r>
    <m/>
    <x v="1"/>
    <x v="1"/>
    <m/>
    <m/>
    <n v="0"/>
    <n v="0"/>
    <s v=""/>
    <s v=""/>
    <m/>
    <m/>
    <m/>
    <m/>
    <m/>
    <m/>
    <m/>
    <m/>
    <m/>
    <m/>
    <m/>
    <m/>
    <s v="Em. Comissão"/>
  </r>
  <r>
    <m/>
    <x v="1"/>
    <x v="1"/>
    <m/>
    <m/>
    <n v="0"/>
    <n v="0"/>
    <s v=""/>
    <s v=""/>
    <m/>
    <m/>
    <m/>
    <m/>
    <m/>
    <m/>
    <m/>
    <m/>
    <m/>
    <m/>
    <m/>
    <m/>
    <s v="Em. Comissão"/>
  </r>
  <r>
    <m/>
    <x v="1"/>
    <x v="1"/>
    <m/>
    <m/>
    <n v="0"/>
    <n v="0"/>
    <s v=""/>
    <m/>
    <m/>
    <m/>
    <m/>
    <m/>
    <m/>
    <m/>
    <m/>
    <m/>
    <m/>
    <m/>
    <m/>
    <m/>
    <s v="Em. Comissão"/>
  </r>
  <r>
    <m/>
    <x v="1"/>
    <x v="1"/>
    <m/>
    <m/>
    <n v="0"/>
    <n v="0"/>
    <s v=""/>
    <m/>
    <m/>
    <m/>
    <m/>
    <m/>
    <m/>
    <m/>
    <m/>
    <m/>
    <m/>
    <m/>
    <m/>
    <m/>
    <s v="Em. Comissão"/>
  </r>
  <r>
    <m/>
    <x v="1"/>
    <x v="1"/>
    <m/>
    <m/>
    <n v="0"/>
    <n v="0"/>
    <s v=""/>
    <s v=""/>
    <m/>
    <m/>
    <m/>
    <m/>
    <m/>
    <m/>
    <m/>
    <m/>
    <m/>
    <m/>
    <m/>
    <m/>
    <s v="Em. Individual"/>
  </r>
  <r>
    <m/>
    <x v="1"/>
    <x v="1"/>
    <m/>
    <m/>
    <n v="0"/>
    <n v="0"/>
    <s v=""/>
    <m/>
    <m/>
    <m/>
    <m/>
    <m/>
    <m/>
    <m/>
    <m/>
    <m/>
    <m/>
    <m/>
    <m/>
    <m/>
    <s v="Em. Individual"/>
  </r>
  <r>
    <m/>
    <x v="1"/>
    <x v="1"/>
    <m/>
    <m/>
    <n v="0"/>
    <n v="0"/>
    <s v=""/>
    <s v=""/>
    <m/>
    <m/>
    <m/>
    <m/>
    <m/>
    <m/>
    <m/>
    <m/>
    <m/>
    <m/>
    <m/>
    <m/>
    <s v="Em. Individual"/>
  </r>
  <r>
    <m/>
    <x v="1"/>
    <x v="1"/>
    <m/>
    <m/>
    <n v="0"/>
    <n v="0"/>
    <s v=""/>
    <m/>
    <m/>
    <m/>
    <m/>
    <m/>
    <m/>
    <m/>
    <m/>
    <m/>
    <m/>
    <m/>
    <m/>
    <m/>
    <s v="Em. Individual"/>
  </r>
  <r>
    <m/>
    <x v="1"/>
    <x v="1"/>
    <m/>
    <m/>
    <n v="0"/>
    <n v="0"/>
    <s v=""/>
    <s v=""/>
    <m/>
    <m/>
    <m/>
    <m/>
    <m/>
    <m/>
    <m/>
    <m/>
    <m/>
    <m/>
    <m/>
    <m/>
    <s v="Em. Individual"/>
  </r>
  <r>
    <m/>
    <x v="1"/>
    <x v="1"/>
    <m/>
    <m/>
    <n v="0"/>
    <n v="0"/>
    <s v=""/>
    <s v=""/>
    <m/>
    <m/>
    <m/>
    <m/>
    <m/>
    <m/>
    <m/>
    <m/>
    <m/>
    <m/>
    <m/>
    <m/>
    <s v="TED"/>
  </r>
  <r>
    <m/>
    <x v="1"/>
    <x v="1"/>
    <m/>
    <m/>
    <n v="0"/>
    <n v="0"/>
    <s v=""/>
    <s v=""/>
    <m/>
    <m/>
    <m/>
    <m/>
    <m/>
    <m/>
    <m/>
    <m/>
    <m/>
    <m/>
    <m/>
    <m/>
    <s v="Em. Individual"/>
  </r>
  <r>
    <m/>
    <x v="1"/>
    <x v="1"/>
    <m/>
    <m/>
    <n v="0"/>
    <n v="0"/>
    <s v=""/>
    <m/>
    <m/>
    <m/>
    <m/>
    <m/>
    <m/>
    <m/>
    <m/>
    <m/>
    <m/>
    <m/>
    <m/>
    <m/>
    <s v="Em. Individual"/>
  </r>
  <r>
    <m/>
    <x v="1"/>
    <x v="1"/>
    <m/>
    <m/>
    <n v="0"/>
    <n v="0"/>
    <s v=""/>
    <s v=""/>
    <m/>
    <m/>
    <m/>
    <m/>
    <m/>
    <m/>
    <m/>
    <m/>
    <m/>
    <m/>
    <m/>
    <m/>
    <s v="Em. Individual"/>
  </r>
  <r>
    <m/>
    <x v="1"/>
    <x v="1"/>
    <m/>
    <m/>
    <n v="0"/>
    <n v="0"/>
    <s v=""/>
    <m/>
    <m/>
    <m/>
    <m/>
    <m/>
    <m/>
    <m/>
    <m/>
    <m/>
    <m/>
    <m/>
    <m/>
    <m/>
    <s v="Em. Individual"/>
  </r>
  <r>
    <m/>
    <x v="1"/>
    <x v="1"/>
    <m/>
    <m/>
    <n v="0"/>
    <n v="0"/>
    <s v=""/>
    <s v=""/>
    <m/>
    <m/>
    <m/>
    <m/>
    <m/>
    <m/>
    <m/>
    <m/>
    <m/>
    <m/>
    <m/>
    <m/>
    <s v="Em. Individual"/>
  </r>
  <r>
    <m/>
    <x v="1"/>
    <x v="1"/>
    <m/>
    <m/>
    <n v="0"/>
    <n v="0"/>
    <s v=""/>
    <m/>
    <m/>
    <m/>
    <m/>
    <m/>
    <m/>
    <m/>
    <m/>
    <m/>
    <m/>
    <m/>
    <m/>
    <m/>
    <s v="Em. Individual"/>
  </r>
  <r>
    <m/>
    <x v="1"/>
    <x v="1"/>
    <m/>
    <m/>
    <n v="0"/>
    <n v="0"/>
    <s v=""/>
    <s v=""/>
    <m/>
    <m/>
    <m/>
    <m/>
    <m/>
    <m/>
    <m/>
    <m/>
    <m/>
    <m/>
    <m/>
    <m/>
    <s v="Em. Individual"/>
  </r>
  <r>
    <m/>
    <x v="1"/>
    <x v="1"/>
    <m/>
    <m/>
    <n v="0"/>
    <n v="0"/>
    <s v=""/>
    <s v=""/>
    <m/>
    <m/>
    <m/>
    <m/>
    <m/>
    <m/>
    <m/>
    <m/>
    <m/>
    <m/>
    <m/>
    <m/>
    <s v="Em. Individual"/>
  </r>
  <r>
    <m/>
    <x v="1"/>
    <x v="1"/>
    <m/>
    <m/>
    <n v="0"/>
    <n v="0"/>
    <s v=""/>
    <s v=""/>
    <m/>
    <m/>
    <m/>
    <m/>
    <m/>
    <m/>
    <m/>
    <m/>
    <m/>
    <m/>
    <m/>
    <m/>
    <s v="Em. Individual"/>
  </r>
  <r>
    <m/>
    <x v="1"/>
    <x v="1"/>
    <m/>
    <m/>
    <n v="0"/>
    <n v="0"/>
    <s v=""/>
    <s v=""/>
    <m/>
    <m/>
    <m/>
    <m/>
    <m/>
    <m/>
    <m/>
    <m/>
    <m/>
    <m/>
    <m/>
    <m/>
    <s v="Em. Individual"/>
  </r>
  <r>
    <m/>
    <x v="1"/>
    <x v="1"/>
    <m/>
    <m/>
    <n v="0"/>
    <n v="0"/>
    <s v=""/>
    <m/>
    <m/>
    <m/>
    <m/>
    <m/>
    <m/>
    <m/>
    <m/>
    <m/>
    <m/>
    <m/>
    <m/>
    <m/>
    <s v="Em. Individual"/>
  </r>
  <r>
    <m/>
    <x v="1"/>
    <x v="1"/>
    <m/>
    <m/>
    <n v="0"/>
    <n v="0"/>
    <s v=""/>
    <s v=""/>
    <m/>
    <m/>
    <m/>
    <m/>
    <m/>
    <m/>
    <m/>
    <m/>
    <m/>
    <m/>
    <m/>
    <m/>
    <s v="Em. Individual"/>
  </r>
  <r>
    <m/>
    <x v="1"/>
    <x v="1"/>
    <m/>
    <m/>
    <n v="0"/>
    <n v="0"/>
    <s v=""/>
    <m/>
    <m/>
    <m/>
    <m/>
    <m/>
    <m/>
    <m/>
    <m/>
    <m/>
    <m/>
    <m/>
    <m/>
    <m/>
    <s v="Em. Individual"/>
  </r>
  <r>
    <m/>
    <x v="1"/>
    <x v="1"/>
    <m/>
    <m/>
    <n v="0"/>
    <n v="0"/>
    <s v=""/>
    <s v=""/>
    <m/>
    <m/>
    <m/>
    <m/>
    <m/>
    <m/>
    <m/>
    <m/>
    <m/>
    <m/>
    <m/>
    <m/>
    <s v="Em. Individual"/>
  </r>
  <r>
    <m/>
    <x v="1"/>
    <x v="1"/>
    <m/>
    <m/>
    <n v="0"/>
    <n v="0"/>
    <s v=""/>
    <s v=""/>
    <m/>
    <m/>
    <m/>
    <m/>
    <m/>
    <m/>
    <m/>
    <m/>
    <m/>
    <m/>
    <m/>
    <m/>
    <s v="Em. Individual"/>
  </r>
  <r>
    <m/>
    <x v="1"/>
    <x v="1"/>
    <m/>
    <m/>
    <n v="0"/>
    <n v="0"/>
    <s v=""/>
    <s v=""/>
    <m/>
    <m/>
    <m/>
    <m/>
    <m/>
    <m/>
    <m/>
    <m/>
    <m/>
    <m/>
    <m/>
    <m/>
    <s v="Em. Individual"/>
  </r>
  <r>
    <m/>
    <x v="1"/>
    <x v="1"/>
    <m/>
    <m/>
    <n v="0"/>
    <n v="0"/>
    <s v=""/>
    <m/>
    <m/>
    <m/>
    <m/>
    <m/>
    <m/>
    <m/>
    <m/>
    <m/>
    <m/>
    <m/>
    <m/>
    <m/>
    <s v="Em. Individual"/>
  </r>
  <r>
    <m/>
    <x v="1"/>
    <x v="1"/>
    <m/>
    <m/>
    <n v="0"/>
    <n v="0"/>
    <s v=""/>
    <s v=""/>
    <m/>
    <m/>
    <m/>
    <m/>
    <m/>
    <m/>
    <m/>
    <m/>
    <m/>
    <m/>
    <m/>
    <m/>
    <s v="Em. Individual"/>
  </r>
  <r>
    <m/>
    <x v="1"/>
    <x v="1"/>
    <m/>
    <m/>
    <n v="0"/>
    <n v="0"/>
    <s v=""/>
    <s v=""/>
    <m/>
    <m/>
    <m/>
    <m/>
    <m/>
    <m/>
    <m/>
    <m/>
    <m/>
    <m/>
    <m/>
    <m/>
    <s v="Em. Individual"/>
  </r>
  <r>
    <m/>
    <x v="1"/>
    <x v="1"/>
    <m/>
    <m/>
    <n v="0"/>
    <n v="0"/>
    <s v=""/>
    <s v=""/>
    <m/>
    <m/>
    <m/>
    <m/>
    <m/>
    <m/>
    <m/>
    <m/>
    <m/>
    <m/>
    <m/>
    <m/>
    <s v="Em. Individual"/>
  </r>
  <r>
    <m/>
    <x v="1"/>
    <x v="1"/>
    <m/>
    <m/>
    <n v="0"/>
    <n v="0"/>
    <s v=""/>
    <s v=""/>
    <m/>
    <m/>
    <m/>
    <m/>
    <m/>
    <m/>
    <m/>
    <m/>
    <m/>
    <m/>
    <m/>
    <m/>
    <s v="Em. Individual"/>
  </r>
  <r>
    <m/>
    <x v="1"/>
    <x v="1"/>
    <m/>
    <m/>
    <n v="0"/>
    <n v="0"/>
    <s v=""/>
    <s v=""/>
    <m/>
    <m/>
    <m/>
    <m/>
    <m/>
    <m/>
    <m/>
    <m/>
    <m/>
    <m/>
    <m/>
    <m/>
    <s v="Em. Individual"/>
  </r>
  <r>
    <m/>
    <x v="1"/>
    <x v="1"/>
    <m/>
    <m/>
    <n v="0"/>
    <n v="0"/>
    <s v=""/>
    <s v=""/>
    <m/>
    <m/>
    <m/>
    <m/>
    <m/>
    <m/>
    <m/>
    <m/>
    <m/>
    <m/>
    <m/>
    <m/>
    <s v="Em. Individual"/>
  </r>
  <r>
    <m/>
    <x v="1"/>
    <x v="1"/>
    <m/>
    <m/>
    <n v="0"/>
    <n v="0"/>
    <s v=""/>
    <m/>
    <m/>
    <m/>
    <m/>
    <m/>
    <m/>
    <m/>
    <m/>
    <m/>
    <m/>
    <m/>
    <m/>
    <m/>
    <s v="Em. Individual"/>
  </r>
  <r>
    <m/>
    <x v="1"/>
    <x v="1"/>
    <m/>
    <m/>
    <n v="0"/>
    <n v="0"/>
    <s v=""/>
    <s v=""/>
    <m/>
    <m/>
    <m/>
    <m/>
    <m/>
    <m/>
    <m/>
    <m/>
    <m/>
    <m/>
    <m/>
    <m/>
    <s v="Em. Individual"/>
  </r>
  <r>
    <m/>
    <x v="1"/>
    <x v="1"/>
    <m/>
    <m/>
    <n v="0"/>
    <n v="0"/>
    <s v=""/>
    <m/>
    <m/>
    <m/>
    <m/>
    <m/>
    <m/>
    <m/>
    <m/>
    <m/>
    <m/>
    <m/>
    <m/>
    <m/>
    <s v="Em. Individual"/>
  </r>
  <r>
    <m/>
    <x v="1"/>
    <x v="1"/>
    <m/>
    <m/>
    <n v="0"/>
    <n v="0"/>
    <s v=""/>
    <s v=""/>
    <m/>
    <m/>
    <m/>
    <m/>
    <m/>
    <m/>
    <m/>
    <m/>
    <m/>
    <m/>
    <m/>
    <m/>
    <s v="Em. Individual"/>
  </r>
  <r>
    <m/>
    <x v="1"/>
    <x v="1"/>
    <m/>
    <m/>
    <n v="0"/>
    <n v="0"/>
    <s v=""/>
    <m/>
    <m/>
    <m/>
    <m/>
    <m/>
    <m/>
    <m/>
    <m/>
    <m/>
    <m/>
    <m/>
    <m/>
    <m/>
    <s v="Em. Individual"/>
  </r>
  <r>
    <m/>
    <x v="1"/>
    <x v="1"/>
    <m/>
    <m/>
    <n v="0"/>
    <n v="0"/>
    <s v=""/>
    <s v=""/>
    <m/>
    <m/>
    <m/>
    <m/>
    <m/>
    <m/>
    <m/>
    <m/>
    <m/>
    <m/>
    <m/>
    <m/>
    <s v="Em. Individual"/>
  </r>
  <r>
    <m/>
    <x v="1"/>
    <x v="1"/>
    <m/>
    <m/>
    <n v="0"/>
    <n v="0"/>
    <s v=""/>
    <m/>
    <m/>
    <m/>
    <m/>
    <m/>
    <m/>
    <m/>
    <m/>
    <m/>
    <m/>
    <m/>
    <m/>
    <m/>
    <s v="Em. Individual"/>
  </r>
  <r>
    <m/>
    <x v="1"/>
    <x v="1"/>
    <m/>
    <m/>
    <n v="0"/>
    <n v="0"/>
    <s v=""/>
    <s v=""/>
    <m/>
    <m/>
    <m/>
    <m/>
    <m/>
    <m/>
    <m/>
    <m/>
    <m/>
    <m/>
    <m/>
    <m/>
    <s v="Em. Individual"/>
  </r>
  <r>
    <m/>
    <x v="1"/>
    <x v="1"/>
    <m/>
    <m/>
    <n v="0"/>
    <n v="0"/>
    <s v=""/>
    <m/>
    <m/>
    <m/>
    <m/>
    <m/>
    <m/>
    <m/>
    <m/>
    <m/>
    <m/>
    <m/>
    <m/>
    <m/>
    <s v="Em. Individual"/>
  </r>
  <r>
    <m/>
    <x v="1"/>
    <x v="1"/>
    <m/>
    <m/>
    <n v="0"/>
    <n v="0"/>
    <s v=""/>
    <s v=""/>
    <m/>
    <m/>
    <m/>
    <m/>
    <m/>
    <m/>
    <m/>
    <m/>
    <m/>
    <m/>
    <m/>
    <m/>
    <s v="Em. Individual"/>
  </r>
  <r>
    <m/>
    <x v="1"/>
    <x v="1"/>
    <m/>
    <m/>
    <n v="0"/>
    <n v="0"/>
    <s v=""/>
    <m/>
    <m/>
    <m/>
    <m/>
    <m/>
    <m/>
    <m/>
    <m/>
    <m/>
    <m/>
    <m/>
    <m/>
    <m/>
    <s v="Em. Individual"/>
  </r>
  <r>
    <m/>
    <x v="1"/>
    <x v="1"/>
    <m/>
    <m/>
    <n v="0"/>
    <n v="0"/>
    <s v=""/>
    <s v=""/>
    <m/>
    <m/>
    <m/>
    <m/>
    <m/>
    <m/>
    <m/>
    <m/>
    <m/>
    <m/>
    <m/>
    <m/>
    <s v="Em. Individual"/>
  </r>
  <r>
    <m/>
    <x v="1"/>
    <x v="1"/>
    <m/>
    <m/>
    <n v="0"/>
    <n v="0"/>
    <s v=""/>
    <m/>
    <m/>
    <m/>
    <m/>
    <m/>
    <m/>
    <m/>
    <m/>
    <m/>
    <m/>
    <m/>
    <m/>
    <m/>
    <s v="Em. Individual"/>
  </r>
  <r>
    <m/>
    <x v="1"/>
    <x v="1"/>
    <m/>
    <m/>
    <n v="0"/>
    <n v="0"/>
    <s v=""/>
    <s v=""/>
    <m/>
    <m/>
    <m/>
    <m/>
    <m/>
    <m/>
    <m/>
    <m/>
    <m/>
    <m/>
    <m/>
    <m/>
    <s v="Em. Individual"/>
  </r>
  <r>
    <m/>
    <x v="1"/>
    <x v="1"/>
    <m/>
    <m/>
    <n v="0"/>
    <n v="0"/>
    <s v=""/>
    <m/>
    <m/>
    <m/>
    <m/>
    <m/>
    <m/>
    <m/>
    <m/>
    <m/>
    <m/>
    <m/>
    <m/>
    <m/>
    <s v="Em. Individual"/>
  </r>
  <r>
    <m/>
    <x v="1"/>
    <x v="1"/>
    <m/>
    <m/>
    <n v="0"/>
    <n v="0"/>
    <s v=""/>
    <s v=""/>
    <m/>
    <m/>
    <m/>
    <m/>
    <m/>
    <m/>
    <m/>
    <m/>
    <m/>
    <m/>
    <m/>
    <m/>
    <s v="Em. Individual"/>
  </r>
  <r>
    <m/>
    <x v="1"/>
    <x v="1"/>
    <m/>
    <m/>
    <n v="0"/>
    <n v="0"/>
    <s v=""/>
    <m/>
    <m/>
    <m/>
    <m/>
    <m/>
    <m/>
    <m/>
    <m/>
    <m/>
    <m/>
    <m/>
    <m/>
    <m/>
    <s v="Em. Individual"/>
  </r>
  <r>
    <m/>
    <x v="1"/>
    <x v="1"/>
    <m/>
    <m/>
    <n v="0"/>
    <n v="0"/>
    <s v=""/>
    <s v=""/>
    <m/>
    <m/>
    <m/>
    <m/>
    <m/>
    <m/>
    <m/>
    <m/>
    <m/>
    <m/>
    <m/>
    <m/>
    <s v="MCom"/>
  </r>
  <r>
    <m/>
    <x v="1"/>
    <x v="1"/>
    <m/>
    <m/>
    <n v="0"/>
    <n v="0"/>
    <s v=""/>
    <s v=""/>
    <m/>
    <m/>
    <m/>
    <m/>
    <m/>
    <m/>
    <m/>
    <m/>
    <m/>
    <m/>
    <m/>
    <m/>
    <s v="MCom"/>
  </r>
  <r>
    <m/>
    <x v="1"/>
    <x v="1"/>
    <m/>
    <m/>
    <n v="0"/>
    <n v="0"/>
    <s v=""/>
    <s v=""/>
    <m/>
    <m/>
    <m/>
    <m/>
    <m/>
    <m/>
    <m/>
    <m/>
    <m/>
    <m/>
    <m/>
    <m/>
    <s v="MCom"/>
  </r>
  <r>
    <m/>
    <x v="1"/>
    <x v="1"/>
    <m/>
    <m/>
    <n v="0"/>
    <n v="0"/>
    <s v=""/>
    <m/>
    <m/>
    <m/>
    <m/>
    <m/>
    <m/>
    <m/>
    <m/>
    <m/>
    <m/>
    <m/>
    <m/>
    <m/>
    <s v="MCom"/>
  </r>
  <r>
    <m/>
    <x v="1"/>
    <x v="1"/>
    <m/>
    <m/>
    <n v="0"/>
    <n v="0"/>
    <s v=""/>
    <s v=""/>
    <m/>
    <m/>
    <m/>
    <m/>
    <m/>
    <m/>
    <m/>
    <m/>
    <m/>
    <m/>
    <m/>
    <m/>
    <s v="MCom"/>
  </r>
  <r>
    <m/>
    <x v="1"/>
    <x v="1"/>
    <m/>
    <m/>
    <n v="0"/>
    <n v="0"/>
    <s v=""/>
    <m/>
    <m/>
    <m/>
    <m/>
    <m/>
    <m/>
    <m/>
    <m/>
    <m/>
    <m/>
    <m/>
    <m/>
    <m/>
    <s v="MCom"/>
  </r>
  <r>
    <m/>
    <x v="1"/>
    <x v="1"/>
    <m/>
    <m/>
    <n v="0"/>
    <n v="0"/>
    <s v=""/>
    <s v=""/>
    <m/>
    <m/>
    <m/>
    <m/>
    <m/>
    <m/>
    <m/>
    <m/>
    <m/>
    <m/>
    <m/>
    <m/>
    <s v="TED"/>
  </r>
  <r>
    <m/>
    <x v="1"/>
    <x v="1"/>
    <m/>
    <m/>
    <n v="0"/>
    <n v="0"/>
    <s v=""/>
    <s v=""/>
    <m/>
    <m/>
    <m/>
    <m/>
    <m/>
    <m/>
    <m/>
    <m/>
    <m/>
    <m/>
    <m/>
    <m/>
    <s v="TED"/>
  </r>
  <r>
    <m/>
    <x v="1"/>
    <x v="1"/>
    <m/>
    <m/>
    <n v="0"/>
    <n v="0"/>
    <s v=""/>
    <s v=""/>
    <m/>
    <m/>
    <m/>
    <m/>
    <m/>
    <m/>
    <m/>
    <m/>
    <m/>
    <m/>
    <m/>
    <m/>
    <s v="TED"/>
  </r>
  <r>
    <m/>
    <x v="1"/>
    <x v="1"/>
    <m/>
    <m/>
    <n v="0"/>
    <n v="0"/>
    <s v=""/>
    <s v=""/>
    <m/>
    <m/>
    <m/>
    <m/>
    <m/>
    <m/>
    <m/>
    <m/>
    <m/>
    <m/>
    <m/>
    <m/>
    <s v="TED"/>
  </r>
  <r>
    <m/>
    <x v="1"/>
    <x v="1"/>
    <m/>
    <m/>
    <n v="0"/>
    <n v="0"/>
    <s v=""/>
    <s v=""/>
    <m/>
    <m/>
    <m/>
    <m/>
    <m/>
    <m/>
    <m/>
    <m/>
    <m/>
    <m/>
    <m/>
    <m/>
    <s v="TED"/>
  </r>
  <r>
    <m/>
    <x v="1"/>
    <x v="1"/>
    <m/>
    <m/>
    <n v="0"/>
    <n v="0"/>
    <m/>
    <s v=""/>
    <m/>
    <m/>
    <m/>
    <m/>
    <m/>
    <m/>
    <m/>
    <m/>
    <m/>
    <m/>
    <m/>
    <m/>
    <s v="TED"/>
  </r>
  <r>
    <m/>
    <x v="1"/>
    <x v="1"/>
    <m/>
    <m/>
    <n v="0"/>
    <n v="0"/>
    <s v=""/>
    <s v=""/>
    <m/>
    <m/>
    <m/>
    <m/>
    <m/>
    <m/>
    <m/>
    <m/>
    <m/>
    <m/>
    <m/>
    <m/>
    <s v="Em. Individual"/>
  </r>
  <r>
    <m/>
    <x v="1"/>
    <x v="1"/>
    <m/>
    <m/>
    <n v="0"/>
    <n v="0"/>
    <s v=""/>
    <m/>
    <m/>
    <m/>
    <m/>
    <m/>
    <m/>
    <m/>
    <m/>
    <m/>
    <m/>
    <m/>
    <m/>
    <m/>
    <s v="Em. Individual"/>
  </r>
  <r>
    <m/>
    <x v="1"/>
    <x v="1"/>
    <m/>
    <m/>
    <n v="0"/>
    <n v="0"/>
    <s v=""/>
    <s v=""/>
    <m/>
    <m/>
    <m/>
    <m/>
    <m/>
    <m/>
    <m/>
    <m/>
    <m/>
    <m/>
    <m/>
    <m/>
    <s v="TED"/>
  </r>
  <r>
    <m/>
    <x v="1"/>
    <x v="1"/>
    <m/>
    <m/>
    <n v="0"/>
    <n v="0"/>
    <s v=""/>
    <s v=""/>
    <m/>
    <m/>
    <m/>
    <m/>
    <m/>
    <m/>
    <m/>
    <m/>
    <m/>
    <m/>
    <m/>
    <m/>
    <s v="TED"/>
  </r>
  <r>
    <m/>
    <x v="1"/>
    <x v="1"/>
    <m/>
    <m/>
    <n v="0"/>
    <n v="0"/>
    <s v=""/>
    <s v=""/>
    <m/>
    <m/>
    <m/>
    <m/>
    <m/>
    <m/>
    <m/>
    <m/>
    <m/>
    <m/>
    <m/>
    <m/>
    <s v="TED"/>
  </r>
  <r>
    <m/>
    <x v="1"/>
    <x v="1"/>
    <m/>
    <m/>
    <n v="0"/>
    <n v="0"/>
    <s v=""/>
    <s v=""/>
    <m/>
    <m/>
    <m/>
    <m/>
    <m/>
    <m/>
    <m/>
    <m/>
    <m/>
    <m/>
    <m/>
    <m/>
    <s v="TED"/>
  </r>
  <r>
    <m/>
    <x v="1"/>
    <x v="1"/>
    <m/>
    <m/>
    <n v="0"/>
    <n v="0"/>
    <s v=""/>
    <s v=""/>
    <m/>
    <m/>
    <m/>
    <m/>
    <m/>
    <m/>
    <m/>
    <m/>
    <m/>
    <m/>
    <m/>
    <m/>
    <s v="Em. Individual"/>
  </r>
  <r>
    <m/>
    <x v="1"/>
    <x v="1"/>
    <m/>
    <m/>
    <n v="0"/>
    <n v="0"/>
    <s v=""/>
    <s v=""/>
    <m/>
    <m/>
    <m/>
    <m/>
    <m/>
    <m/>
    <m/>
    <m/>
    <m/>
    <m/>
    <m/>
    <m/>
    <s v="Em. Individual"/>
  </r>
  <r>
    <m/>
    <x v="1"/>
    <x v="1"/>
    <m/>
    <m/>
    <n v="0"/>
    <n v="0"/>
    <s v=""/>
    <s v=""/>
    <m/>
    <m/>
    <m/>
    <m/>
    <m/>
    <m/>
    <m/>
    <m/>
    <m/>
    <m/>
    <m/>
    <m/>
    <s v="Em. Individual"/>
  </r>
  <r>
    <m/>
    <x v="1"/>
    <x v="1"/>
    <m/>
    <m/>
    <n v="0"/>
    <n v="0"/>
    <s v=""/>
    <m/>
    <m/>
    <m/>
    <m/>
    <m/>
    <m/>
    <m/>
    <m/>
    <m/>
    <m/>
    <m/>
    <m/>
    <m/>
    <s v="Em. Individual"/>
  </r>
  <r>
    <m/>
    <x v="1"/>
    <x v="1"/>
    <m/>
    <m/>
    <n v="0"/>
    <n v="0"/>
    <s v=""/>
    <s v=""/>
    <m/>
    <m/>
    <m/>
    <m/>
    <m/>
    <m/>
    <m/>
    <m/>
    <m/>
    <m/>
    <m/>
    <m/>
    <s v="Em. Individual"/>
  </r>
  <r>
    <m/>
    <x v="1"/>
    <x v="1"/>
    <m/>
    <m/>
    <n v="0"/>
    <n v="0"/>
    <s v=""/>
    <m/>
    <m/>
    <m/>
    <m/>
    <m/>
    <m/>
    <m/>
    <m/>
    <m/>
    <m/>
    <m/>
    <m/>
    <m/>
    <s v="Em. Individual"/>
  </r>
  <r>
    <m/>
    <x v="1"/>
    <x v="1"/>
    <m/>
    <m/>
    <n v="0"/>
    <n v="0"/>
    <s v=""/>
    <s v=""/>
    <m/>
    <m/>
    <m/>
    <m/>
    <m/>
    <m/>
    <m/>
    <m/>
    <m/>
    <m/>
    <m/>
    <m/>
    <s v="Em. Individual"/>
  </r>
  <r>
    <m/>
    <x v="1"/>
    <x v="1"/>
    <m/>
    <m/>
    <n v="0"/>
    <n v="0"/>
    <s v=""/>
    <m/>
    <m/>
    <m/>
    <m/>
    <m/>
    <m/>
    <m/>
    <m/>
    <m/>
    <m/>
    <m/>
    <m/>
    <m/>
    <s v="Em. Individual"/>
  </r>
  <r>
    <s v="NC 2021 - SEI 8951921"/>
    <x v="2"/>
    <x v="0"/>
    <s v="01/2021"/>
    <n v="1801472.7"/>
    <n v="0"/>
    <n v="1814033.9908278328"/>
    <n v="0"/>
    <s v=""/>
    <m/>
    <m/>
    <m/>
    <m/>
    <m/>
    <m/>
    <m/>
    <m/>
    <m/>
    <m/>
    <m/>
    <m/>
    <s v="Nota de Crédito"/>
  </r>
  <r>
    <s v="NC 2021 - SEI 8951921"/>
    <x v="2"/>
    <x v="0"/>
    <s v="02/2021"/>
    <n v="524400"/>
    <n v="0"/>
    <n v="528056.53107599996"/>
    <n v="0"/>
    <s v=""/>
    <m/>
    <m/>
    <m/>
    <m/>
    <m/>
    <m/>
    <m/>
    <m/>
    <m/>
    <m/>
    <m/>
    <m/>
    <s v="Nota de Crédito"/>
  </r>
  <r>
    <s v="NC 2021 - SEI 8951921"/>
    <x v="2"/>
    <x v="0"/>
    <s v="03/2021"/>
    <n v="5225812"/>
    <n v="0"/>
    <n v="5262250.4896554798"/>
    <n v="0"/>
    <s v=""/>
    <m/>
    <m/>
    <m/>
    <m/>
    <m/>
    <m/>
    <m/>
    <m/>
    <m/>
    <m/>
    <m/>
    <m/>
    <s v="Nota de Crédito"/>
  </r>
  <r>
    <s v="NC 2021 - SEI 8951921"/>
    <x v="3"/>
    <x v="0"/>
    <s v="04/2021"/>
    <n v="13278264.4"/>
    <n v="0"/>
    <n v="13370850.949225677"/>
    <n v="0"/>
    <s v=""/>
    <m/>
    <m/>
    <m/>
    <m/>
    <m/>
    <m/>
    <m/>
    <m/>
    <m/>
    <m/>
    <m/>
    <m/>
    <s v="Nota de Crédito"/>
  </r>
  <r>
    <s v="NC 2021 - SEI 8951921"/>
    <x v="4"/>
    <x v="0"/>
    <s v="05/2021"/>
    <n v="1544762"/>
    <n v="0"/>
    <n v="1555533.3010259799"/>
    <n v="0"/>
    <s v=""/>
    <m/>
    <m/>
    <m/>
    <m/>
    <m/>
    <m/>
    <m/>
    <m/>
    <m/>
    <m/>
    <m/>
    <m/>
    <s v="Nota de Crédito"/>
  </r>
  <r>
    <s v="NC 2021 - SEI 8951921"/>
    <x v="5"/>
    <x v="0"/>
    <s v="06/2021"/>
    <n v="1411014.44"/>
    <n v="0"/>
    <n v="1420853.1473770875"/>
    <n v="0"/>
    <s v=""/>
    <m/>
    <m/>
    <m/>
    <m/>
    <m/>
    <m/>
    <m/>
    <m/>
    <m/>
    <m/>
    <m/>
    <m/>
    <s v="Nota de Crédito"/>
  </r>
  <r>
    <s v="NC 2021 - SEI 8951921"/>
    <x v="5"/>
    <x v="0"/>
    <s v="07/2021"/>
    <n v="2245000"/>
    <n v="0"/>
    <n v="2260653.9135500002"/>
    <n v="0"/>
    <s v=""/>
    <m/>
    <m/>
    <m/>
    <m/>
    <m/>
    <m/>
    <m/>
    <m/>
    <m/>
    <m/>
    <m/>
    <m/>
    <s v="Nota de Crédito"/>
  </r>
  <r>
    <s v="NC 2021 - SEI 8951921"/>
    <x v="5"/>
    <x v="0"/>
    <s v="08/2021"/>
    <n v="2752000"/>
    <n v="0"/>
    <n v="2771189.1180799999"/>
    <n v="0"/>
    <s v=""/>
    <m/>
    <m/>
    <m/>
    <m/>
    <m/>
    <m/>
    <m/>
    <m/>
    <m/>
    <m/>
    <m/>
    <m/>
    <s v="Nota de Crédito"/>
  </r>
  <r>
    <s v="NC 2021 - SEI 8951921"/>
    <x v="6"/>
    <x v="0"/>
    <s v="09/2021"/>
    <n v="750000"/>
    <n v="0"/>
    <n v="755229.59250000003"/>
    <n v="0"/>
    <s v=""/>
    <m/>
    <m/>
    <m/>
    <m/>
    <m/>
    <m/>
    <m/>
    <m/>
    <m/>
    <m/>
    <m/>
    <m/>
    <s v="Nota de Crédito"/>
  </r>
  <r>
    <s v="NC 2021 - SEI 8951921"/>
    <x v="7"/>
    <x v="0"/>
    <s v="10/2021"/>
    <n v="490000"/>
    <n v="0"/>
    <n v="493416.66710000002"/>
    <n v="0"/>
    <s v=""/>
    <m/>
    <m/>
    <m/>
    <m/>
    <m/>
    <m/>
    <m/>
    <m/>
    <m/>
    <m/>
    <m/>
    <m/>
    <s v="Nota de Crédito"/>
  </r>
  <r>
    <s v="NC 2021 - SEI 8951921"/>
    <x v="7"/>
    <x v="0"/>
    <s v="11/2021"/>
    <n v="831400"/>
    <n v="0"/>
    <n v="837197.17760599998"/>
    <n v="0"/>
    <s v=""/>
    <m/>
    <m/>
    <m/>
    <m/>
    <m/>
    <m/>
    <m/>
    <m/>
    <m/>
    <m/>
    <m/>
    <m/>
    <s v="Nota de Crédito"/>
  </r>
  <r>
    <s v="NC 2021 - SEI 8951921"/>
    <x v="8"/>
    <x v="0"/>
    <s v="12/2021"/>
    <n v="207000"/>
    <n v="0"/>
    <n v="208443.36752999999"/>
    <n v="0"/>
    <s v=""/>
    <m/>
    <m/>
    <m/>
    <m/>
    <m/>
    <m/>
    <m/>
    <m/>
    <m/>
    <m/>
    <m/>
    <m/>
    <s v="Nota de Crédito"/>
  </r>
  <r>
    <s v="NC 2021 - SEI 8951921"/>
    <x v="9"/>
    <x v="0"/>
    <s v="13/2021"/>
    <n v="97197.71"/>
    <n v="0"/>
    <n v="97875.449220310911"/>
    <n v="0"/>
    <s v=""/>
    <m/>
    <m/>
    <m/>
    <m/>
    <m/>
    <m/>
    <m/>
    <m/>
    <m/>
    <m/>
    <m/>
    <m/>
    <s v="Nota de Crédito"/>
  </r>
  <r>
    <s v="NC 2021 - SEI 8951921"/>
    <x v="10"/>
    <x v="0"/>
    <s v="14/2021"/>
    <n v="138500"/>
    <n v="0"/>
    <n v="139465.73141499999"/>
    <n v="0"/>
    <s v=""/>
    <m/>
    <m/>
    <m/>
    <m/>
    <m/>
    <m/>
    <m/>
    <m/>
    <m/>
    <m/>
    <m/>
    <m/>
    <s v="Nota de Crédito"/>
  </r>
  <r>
    <s v="NC 2021 - SEI 8951921"/>
    <x v="11"/>
    <x v="0"/>
    <s v="15/2021"/>
    <n v="207000"/>
    <n v="0"/>
    <n v="208443.36752999999"/>
    <n v="0"/>
    <s v=""/>
    <m/>
    <m/>
    <m/>
    <m/>
    <m/>
    <m/>
    <m/>
    <m/>
    <m/>
    <m/>
    <m/>
    <m/>
    <s v="Nota de Crédito"/>
  </r>
  <r>
    <s v="NC 2021 - SEI 8951921"/>
    <x v="12"/>
    <x v="0"/>
    <s v="16/2021"/>
    <n v="208000"/>
    <n v="0"/>
    <n v="209450.34031999999"/>
    <n v="0"/>
    <s v=""/>
    <m/>
    <m/>
    <m/>
    <m/>
    <m/>
    <m/>
    <m/>
    <m/>
    <m/>
    <m/>
    <m/>
    <m/>
    <s v="Nota de Crédito"/>
  </r>
  <r>
    <s v="NC 2021 - SEI 8951921"/>
    <x v="13"/>
    <x v="0"/>
    <s v="17/2021"/>
    <n v="400000"/>
    <n v="0"/>
    <n v="402789.11599999998"/>
    <n v="0"/>
    <s v=""/>
    <m/>
    <m/>
    <m/>
    <m/>
    <m/>
    <m/>
    <m/>
    <m/>
    <m/>
    <m/>
    <m/>
    <m/>
    <s v="Nota de Crédito"/>
  </r>
  <r>
    <s v="NC 2021 - SEI 8951921"/>
    <x v="14"/>
    <x v="0"/>
    <s v="18/2021"/>
    <n v="281339.24"/>
    <n v="0"/>
    <n v="283300.95943927957"/>
    <n v="0"/>
    <s v=""/>
    <m/>
    <m/>
    <m/>
    <m/>
    <m/>
    <m/>
    <m/>
    <m/>
    <m/>
    <m/>
    <m/>
    <m/>
    <s v="Nota de Crédito"/>
  </r>
  <r>
    <s v="NC 2021 - SEI 8951921"/>
    <x v="15"/>
    <x v="0"/>
    <s v="19/2021"/>
    <n v="81587.97"/>
    <n v="0"/>
    <n v="82156.865781336295"/>
    <n v="0"/>
    <s v=""/>
    <m/>
    <m/>
    <m/>
    <m/>
    <m/>
    <m/>
    <m/>
    <m/>
    <m/>
    <m/>
    <m/>
    <m/>
    <s v="Nota de Crédito"/>
  </r>
  <r>
    <s v="NC 2021 - SEI 8951921"/>
    <x v="16"/>
    <x v="0"/>
    <s v="20/2021"/>
    <n v="881417.69"/>
    <n v="0"/>
    <n v="887563.63045465504"/>
    <n v="0"/>
    <s v=""/>
    <m/>
    <m/>
    <m/>
    <m/>
    <m/>
    <m/>
    <m/>
    <m/>
    <m/>
    <m/>
    <m/>
    <m/>
    <s v="Nota de Crédito"/>
  </r>
  <r>
    <s v="NC 2021 - SEI 8951921"/>
    <x v="17"/>
    <x v="0"/>
    <s v="22/2021"/>
    <n v="502796.02"/>
    <n v="0"/>
    <n v="506301.91106029582"/>
    <n v="0"/>
    <s v=""/>
    <m/>
    <m/>
    <m/>
    <m/>
    <m/>
    <m/>
    <m/>
    <m/>
    <m/>
    <m/>
    <m/>
    <m/>
    <s v="Nota de Crédito"/>
  </r>
  <r>
    <s v="NC 2021 - SEI 8951921"/>
    <x v="18"/>
    <x v="0"/>
    <s v="23/2021"/>
    <n v="207000"/>
    <n v="0"/>
    <n v="208443.36752999999"/>
    <n v="0"/>
    <s v=""/>
    <m/>
    <m/>
    <m/>
    <m/>
    <m/>
    <m/>
    <m/>
    <m/>
    <m/>
    <m/>
    <m/>
    <m/>
    <s v="Nota de Crédito"/>
  </r>
  <r>
    <s v="NC 2021 - SEI 8951921"/>
    <x v="19"/>
    <x v="0"/>
    <s v="24/2021"/>
    <n v="72167.81"/>
    <n v="0"/>
    <n v="72671.020983889903"/>
    <n v="0"/>
    <s v=""/>
    <m/>
    <m/>
    <m/>
    <m/>
    <m/>
    <m/>
    <m/>
    <m/>
    <m/>
    <m/>
    <m/>
    <m/>
    <s v="Nota de Crédito"/>
  </r>
  <r>
    <s v="NC 2021 - SEI 8951921"/>
    <x v="20"/>
    <x v="0"/>
    <s v="25/2021"/>
    <n v="9098.42"/>
    <n v="0"/>
    <n v="9161.8613719917994"/>
    <n v="0"/>
    <s v=""/>
    <m/>
    <m/>
    <m/>
    <m/>
    <m/>
    <m/>
    <m/>
    <m/>
    <m/>
    <m/>
    <m/>
    <m/>
    <s v="Nota de Crédito"/>
  </r>
  <r>
    <s v="NC 2021 - SEI 8951921"/>
    <x v="21"/>
    <x v="0"/>
    <s v="26/2021"/>
    <n v="207000"/>
    <n v="0"/>
    <n v="208443.36752999999"/>
    <n v="0"/>
    <s v=""/>
    <m/>
    <m/>
    <m/>
    <m/>
    <m/>
    <m/>
    <m/>
    <m/>
    <m/>
    <m/>
    <m/>
    <m/>
    <s v="Nota de Crédito"/>
  </r>
  <r>
    <s v="NC 2021 - SEI 8951921"/>
    <x v="22"/>
    <x v="0"/>
    <s v="27/2021"/>
    <n v="102000"/>
    <n v="0"/>
    <n v="102711.22457999999"/>
    <n v="0"/>
    <s v=""/>
    <m/>
    <m/>
    <m/>
    <m/>
    <m/>
    <m/>
    <m/>
    <m/>
    <m/>
    <m/>
    <m/>
    <m/>
    <s v="Nota de Crédito"/>
  </r>
  <r>
    <s v="NC 2021 - SEI 8951921"/>
    <x v="23"/>
    <x v="0"/>
    <s v="28/2021"/>
    <n v="345000"/>
    <n v="0"/>
    <n v="347405.61255000002"/>
    <n v="0"/>
    <s v=""/>
    <m/>
    <m/>
    <m/>
    <m/>
    <m/>
    <m/>
    <m/>
    <m/>
    <m/>
    <m/>
    <m/>
    <m/>
    <s v="Nota de Crédito"/>
  </r>
  <r>
    <s v="NC 2021 - SEI 8951921"/>
    <x v="24"/>
    <x v="0"/>
    <s v="29/2021"/>
    <n v="430000"/>
    <n v="0"/>
    <n v="432998.29969999997"/>
    <n v="0"/>
    <s v=""/>
    <m/>
    <m/>
    <m/>
    <m/>
    <m/>
    <m/>
    <m/>
    <m/>
    <m/>
    <m/>
    <m/>
    <m/>
    <s v="Nota de Crédito"/>
  </r>
  <r>
    <s v="NC 2021 - SEI 8951921"/>
    <x v="25"/>
    <x v="0"/>
    <s v="30/2021"/>
    <n v="66102.3"/>
    <n v="0"/>
    <n v="66563.217456416998"/>
    <n v="0"/>
    <s v=""/>
    <m/>
    <m/>
    <m/>
    <m/>
    <m/>
    <m/>
    <m/>
    <m/>
    <m/>
    <m/>
    <m/>
    <m/>
    <s v="Nota de Crédito"/>
  </r>
  <r>
    <s v="NC 2021 - SEI 8951921"/>
    <x v="26"/>
    <x v="0"/>
    <s v="31/2021"/>
    <n v="3253.19"/>
    <n v="0"/>
    <n v="3275.8738107001"/>
    <n v="0"/>
    <s v=""/>
    <m/>
    <m/>
    <m/>
    <m/>
    <m/>
    <m/>
    <m/>
    <m/>
    <m/>
    <m/>
    <m/>
    <m/>
    <s v="Nota de Crédito"/>
  </r>
  <r>
    <s v="NC 2021 - SEI 8951921"/>
    <x v="27"/>
    <x v="0"/>
    <s v="32/2021"/>
    <n v="207000"/>
    <n v="0"/>
    <n v="208443.36752999999"/>
    <n v="0"/>
    <s v=""/>
    <m/>
    <m/>
    <m/>
    <m/>
    <m/>
    <m/>
    <m/>
    <m/>
    <m/>
    <m/>
    <m/>
    <m/>
    <s v="Nota de Crédito"/>
  </r>
  <r>
    <s v="NC 2021 - SEI 8951921"/>
    <x v="28"/>
    <x v="0"/>
    <s v="33/2021"/>
    <n v="408375.1"/>
    <n v="0"/>
    <n v="411222.61381352897"/>
    <n v="0"/>
    <s v=""/>
    <m/>
    <m/>
    <m/>
    <m/>
    <m/>
    <m/>
    <m/>
    <m/>
    <m/>
    <m/>
    <m/>
    <m/>
    <s v="Nota de Crédito"/>
  </r>
  <r>
    <s v="NC 2021 - SEI 8951921"/>
    <x v="29"/>
    <x v="0"/>
    <s v="34/2021"/>
    <n v="207000"/>
    <n v="0"/>
    <n v="208443.36752999999"/>
    <n v="0"/>
    <s v=""/>
    <m/>
    <m/>
    <m/>
    <m/>
    <m/>
    <m/>
    <m/>
    <m/>
    <m/>
    <m/>
    <m/>
    <m/>
    <s v="Nota de Crédito"/>
  </r>
  <r>
    <s v="NC 2021 - SEI 8951921"/>
    <x v="30"/>
    <x v="0"/>
    <s v="35/2021"/>
    <n v="15392427.09"/>
    <n v="0"/>
    <n v="15499755.251688881"/>
    <n v="0"/>
    <s v=""/>
    <m/>
    <m/>
    <m/>
    <m/>
    <m/>
    <m/>
    <m/>
    <m/>
    <m/>
    <m/>
    <m/>
    <m/>
    <s v="Nota de Crédito"/>
  </r>
  <r>
    <s v="NC 2021 - SEI 8951921"/>
    <x v="30"/>
    <x v="0"/>
    <s v="36/2021"/>
    <n v="3688000"/>
    <n v="0"/>
    <n v="3713715.64952"/>
    <n v="0"/>
    <s v=""/>
    <m/>
    <m/>
    <m/>
    <m/>
    <m/>
    <m/>
    <m/>
    <m/>
    <m/>
    <m/>
    <m/>
    <m/>
    <s v="Nota de Crédito"/>
  </r>
  <r>
    <s v="NC 2021 - SEI 8951921"/>
    <x v="30"/>
    <x v="0"/>
    <s v="37/2021"/>
    <n v="10000000"/>
    <n v="0"/>
    <n v="10069727.9"/>
    <n v="0"/>
    <s v=""/>
    <m/>
    <m/>
    <m/>
    <m/>
    <m/>
    <m/>
    <m/>
    <m/>
    <m/>
    <m/>
    <m/>
    <m/>
    <s v="Nota de Crédito"/>
  </r>
  <r>
    <s v="NC 2021 - SEI 8951921"/>
    <x v="31"/>
    <x v="0"/>
    <s v="38/2021"/>
    <n v="16863198"/>
    <n v="0"/>
    <n v="16980781.538382418"/>
    <n v="0"/>
    <s v=""/>
    <m/>
    <m/>
    <m/>
    <m/>
    <m/>
    <m/>
    <m/>
    <m/>
    <m/>
    <m/>
    <m/>
    <m/>
    <s v="Nota de Crédito"/>
  </r>
  <r>
    <s v="NC 2021 - SEI 8951921"/>
    <x v="31"/>
    <x v="0"/>
    <s v="39/2021"/>
    <n v="3681000"/>
    <n v="0"/>
    <n v="3706666.8399899998"/>
    <n v="0"/>
    <s v=""/>
    <m/>
    <m/>
    <m/>
    <m/>
    <m/>
    <m/>
    <m/>
    <m/>
    <m/>
    <m/>
    <m/>
    <m/>
    <s v="Nota de Crédito"/>
  </r>
  <r>
    <s v="NC 2021 - SEI 8951921"/>
    <x v="32"/>
    <x v="0"/>
    <s v="40/2021"/>
    <n v="625930.5"/>
    <n v="0"/>
    <n v="630294.98193109501"/>
    <n v="0"/>
    <s v=""/>
    <m/>
    <m/>
    <m/>
    <m/>
    <m/>
    <m/>
    <m/>
    <m/>
    <m/>
    <m/>
    <m/>
    <m/>
    <s v="Nota de Crédito"/>
  </r>
  <r>
    <s v="NC 2021 - SEI 8951921"/>
    <x v="33"/>
    <x v="0"/>
    <s v="41/2021"/>
    <n v="107800"/>
    <n v="0"/>
    <n v="108551.66676199999"/>
    <n v="0"/>
    <s v=""/>
    <m/>
    <m/>
    <m/>
    <m/>
    <m/>
    <m/>
    <m/>
    <m/>
    <m/>
    <m/>
    <m/>
    <m/>
    <s v="Nota de Crédito"/>
  </r>
  <r>
    <s v="NC 2021 - SEI 8951921"/>
    <x v="34"/>
    <x v="0"/>
    <s v="42/2021"/>
    <n v="414000"/>
    <n v="0"/>
    <n v="416886.73505999998"/>
    <n v="0"/>
    <s v=""/>
    <m/>
    <m/>
    <m/>
    <m/>
    <m/>
    <m/>
    <m/>
    <m/>
    <m/>
    <m/>
    <m/>
    <m/>
    <s v="Nota de Crédito"/>
  </r>
  <r>
    <s v="NC 2021 - SEI 8951921"/>
    <x v="0"/>
    <x v="0"/>
    <s v="43/2021"/>
    <n v="46400"/>
    <n v="0"/>
    <n v="46723.537455999998"/>
    <n v="0"/>
    <s v=""/>
    <m/>
    <m/>
    <m/>
    <m/>
    <m/>
    <m/>
    <m/>
    <m/>
    <m/>
    <m/>
    <m/>
    <m/>
    <s v="Nota de Crédito"/>
  </r>
  <r>
    <s v="NC 2021 - SEI 8951921"/>
    <x v="35"/>
    <x v="0"/>
    <s v="44/2021"/>
    <n v="343031.28"/>
    <n v="0"/>
    <n v="345423.16507887124"/>
    <n v="0"/>
    <s v=""/>
    <m/>
    <m/>
    <m/>
    <m/>
    <m/>
    <m/>
    <m/>
    <m/>
    <m/>
    <m/>
    <m/>
    <m/>
    <s v="Nota de Crédito"/>
  </r>
  <r>
    <s v="NC 2021 - SEI 8951921"/>
    <x v="36"/>
    <x v="0"/>
    <s v="45/2021"/>
    <n v="284986"/>
    <n v="0"/>
    <n v="286973.14753094001"/>
    <n v="0"/>
    <s v=""/>
    <m/>
    <m/>
    <m/>
    <m/>
    <m/>
    <m/>
    <m/>
    <m/>
    <m/>
    <m/>
    <m/>
    <m/>
    <s v="Nota de Crédito"/>
  </r>
  <r>
    <s v="NC 2021 - SEI 8951921"/>
    <x v="37"/>
    <x v="0"/>
    <s v="46/2021"/>
    <n v="345000"/>
    <n v="0"/>
    <n v="347405.61255000002"/>
    <n v="0"/>
    <s v=""/>
    <m/>
    <m/>
    <m/>
    <m/>
    <m/>
    <m/>
    <m/>
    <m/>
    <m/>
    <m/>
    <m/>
    <m/>
    <s v="Nota de Crédito"/>
  </r>
  <r>
    <s v="NC 2021 - SEI 8951921"/>
    <x v="38"/>
    <x v="0"/>
    <s v="47/2021"/>
    <n v="309000"/>
    <n v="0"/>
    <n v="311154.59211000003"/>
    <n v="0"/>
    <s v=""/>
    <m/>
    <m/>
    <m/>
    <m/>
    <m/>
    <m/>
    <m/>
    <m/>
    <m/>
    <m/>
    <m/>
    <m/>
    <s v="Nota de Crédito"/>
  </r>
  <r>
    <s v="NC 2021 - SEI 8952142"/>
    <x v="2"/>
    <x v="2"/>
    <s v="48/2021"/>
    <n v="608000"/>
    <n v="0"/>
    <n v="612239.45632"/>
    <n v="0"/>
    <m/>
    <m/>
    <m/>
    <m/>
    <m/>
    <m/>
    <m/>
    <m/>
    <m/>
    <m/>
    <m/>
    <m/>
    <m/>
    <s v="Nota de Crédito"/>
  </r>
  <r>
    <s v="NC 2021 - SEI 8952142"/>
    <x v="2"/>
    <x v="2"/>
    <s v="49/2021"/>
    <n v="175000"/>
    <n v="0"/>
    <n v="176220.23824999999"/>
    <n v="0"/>
    <m/>
    <m/>
    <m/>
    <m/>
    <m/>
    <m/>
    <m/>
    <m/>
    <m/>
    <m/>
    <m/>
    <m/>
    <m/>
    <s v="Nota de Crédito"/>
  </r>
  <r>
    <s v="NC 2021 - SEI 8952142"/>
    <x v="2"/>
    <x v="2"/>
    <s v="50/2021"/>
    <n v="750000"/>
    <n v="0"/>
    <n v="755229.59250000003"/>
    <n v="0"/>
    <m/>
    <m/>
    <m/>
    <m/>
    <m/>
    <m/>
    <m/>
    <m/>
    <m/>
    <m/>
    <m/>
    <m/>
    <m/>
    <s v="Nota de Crédito"/>
  </r>
  <r>
    <s v="NC 2021 - SEI 8952142"/>
    <x v="3"/>
    <x v="2"/>
    <s v="51/2021"/>
    <n v="5200000"/>
    <n v="0"/>
    <n v="5236258.5080000004"/>
    <n v="0"/>
    <m/>
    <m/>
    <m/>
    <m/>
    <m/>
    <m/>
    <m/>
    <m/>
    <m/>
    <m/>
    <m/>
    <m/>
    <m/>
    <s v="Nota de Crédito"/>
  </r>
  <r>
    <s v="NC 2021 - SEI 8952142"/>
    <x v="4"/>
    <x v="2"/>
    <s v="52/2021"/>
    <n v="695280"/>
    <n v="0"/>
    <n v="700128.04143119999"/>
    <n v="0"/>
    <m/>
    <m/>
    <m/>
    <m/>
    <m/>
    <m/>
    <m/>
    <m/>
    <m/>
    <m/>
    <m/>
    <m/>
    <m/>
    <s v="Nota de Crédito"/>
  </r>
  <r>
    <s v="NC 2021 - SEI 8952142"/>
    <x v="5"/>
    <x v="2"/>
    <s v="53/2021"/>
    <n v="783000"/>
    <n v="0"/>
    <n v="788459.69457000005"/>
    <n v="0"/>
    <m/>
    <m/>
    <m/>
    <m/>
    <m/>
    <m/>
    <m/>
    <m/>
    <m/>
    <m/>
    <m/>
    <m/>
    <m/>
    <s v="Nota de Crédito"/>
  </r>
  <r>
    <s v="NC 2021 - SEI 8952142"/>
    <x v="5"/>
    <x v="2"/>
    <s v="54/2021"/>
    <n v="840153.99"/>
    <n v="0"/>
    <n v="846012.20733993209"/>
    <n v="0"/>
    <m/>
    <m/>
    <m/>
    <m/>
    <m/>
    <m/>
    <m/>
    <m/>
    <m/>
    <m/>
    <m/>
    <m/>
    <m/>
    <s v="Nota de Crédito"/>
  </r>
  <r>
    <s v="NC 2021 - SEI 8952142"/>
    <x v="7"/>
    <x v="2"/>
    <s v="55/2021"/>
    <n v="184000"/>
    <n v="0"/>
    <n v="185282.99335999999"/>
    <n v="0"/>
    <m/>
    <m/>
    <m/>
    <m/>
    <m/>
    <m/>
    <m/>
    <m/>
    <m/>
    <m/>
    <m/>
    <m/>
    <m/>
    <s v="Nota de Crédito"/>
  </r>
  <r>
    <s v="NC 2021 - SEI 8952142"/>
    <x v="7"/>
    <x v="2"/>
    <s v="56/2021"/>
    <n v="312420"/>
    <n v="0"/>
    <n v="314598.4390518"/>
    <n v="0"/>
    <m/>
    <m/>
    <m/>
    <m/>
    <m/>
    <m/>
    <m/>
    <m/>
    <m/>
    <m/>
    <m/>
    <m/>
    <m/>
    <s v="Nota de Crédito"/>
  </r>
  <r>
    <s v="NC 2021 - SEI 8952142"/>
    <x v="10"/>
    <x v="2"/>
    <s v="57/2021"/>
    <n v="61500"/>
    <n v="0"/>
    <n v="61928.826585000003"/>
    <n v="0"/>
    <m/>
    <m/>
    <m/>
    <m/>
    <m/>
    <m/>
    <m/>
    <m/>
    <m/>
    <m/>
    <m/>
    <m/>
    <m/>
    <s v="Nota de Crédito"/>
  </r>
  <r>
    <s v="NC 2021 - SEI 8952142"/>
    <x v="11"/>
    <x v="2"/>
    <s v="58/2021"/>
    <n v="93000"/>
    <n v="0"/>
    <n v="93648.469469999996"/>
    <n v="0"/>
    <m/>
    <m/>
    <m/>
    <m/>
    <m/>
    <m/>
    <m/>
    <m/>
    <m/>
    <m/>
    <m/>
    <m/>
    <m/>
    <s v="Nota de Crédito"/>
  </r>
  <r>
    <s v="NC 2021 - SEI 8952142"/>
    <x v="12"/>
    <x v="2"/>
    <s v="59/2021"/>
    <n v="92000"/>
    <n v="0"/>
    <n v="92641.496679999997"/>
    <n v="0"/>
    <m/>
    <m/>
    <m/>
    <m/>
    <m/>
    <m/>
    <m/>
    <m/>
    <m/>
    <m/>
    <m/>
    <m/>
    <m/>
    <s v="Nota de Crédito"/>
  </r>
  <r>
    <s v="NC 2021 - SEI 8952142"/>
    <x v="15"/>
    <x v="2"/>
    <s v="60/2021"/>
    <n v="41880"/>
    <n v="0"/>
    <n v="42172.020445200003"/>
    <n v="0"/>
    <m/>
    <m/>
    <m/>
    <m/>
    <m/>
    <m/>
    <m/>
    <m/>
    <m/>
    <m/>
    <m/>
    <m/>
    <m/>
    <s v="Nota de Crédito"/>
  </r>
  <r>
    <s v="NC 2021 - SEI 8952142"/>
    <x v="16"/>
    <x v="2"/>
    <s v="61/2021"/>
    <n v="368544"/>
    <n v="0"/>
    <n v="371113.77991776"/>
    <n v="0"/>
    <m/>
    <m/>
    <m/>
    <m/>
    <m/>
    <m/>
    <m/>
    <m/>
    <m/>
    <m/>
    <m/>
    <m/>
    <m/>
    <s v="Nota de Crédito"/>
  </r>
  <r>
    <s v="NC 2021 - SEI 8952142"/>
    <x v="18"/>
    <x v="2"/>
    <s v="62/2021"/>
    <n v="93000"/>
    <n v="0"/>
    <n v="93648.469469999996"/>
    <n v="0"/>
    <m/>
    <m/>
    <m/>
    <m/>
    <m/>
    <m/>
    <m/>
    <m/>
    <m/>
    <m/>
    <m/>
    <m/>
    <m/>
    <s v="Nota de Crédito"/>
  </r>
  <r>
    <s v="NC 2021 - SEI 8952142"/>
    <x v="21"/>
    <x v="2"/>
    <s v="63/2021"/>
    <n v="93000"/>
    <n v="0"/>
    <n v="93648.469469999996"/>
    <n v="0"/>
    <m/>
    <m/>
    <m/>
    <m/>
    <m/>
    <m/>
    <m/>
    <m/>
    <m/>
    <m/>
    <m/>
    <m/>
    <m/>
    <s v="Nota de Crédito"/>
  </r>
  <r>
    <s v="NC 2021 - SEI 8952142"/>
    <x v="22"/>
    <x v="2"/>
    <s v="64/2021"/>
    <n v="48000"/>
    <n v="0"/>
    <n v="48334.693919999998"/>
    <n v="0"/>
    <m/>
    <m/>
    <m/>
    <m/>
    <m/>
    <m/>
    <m/>
    <m/>
    <m/>
    <m/>
    <m/>
    <m/>
    <m/>
    <s v="Nota de Crédito"/>
  </r>
  <r>
    <s v="NC 2021 - SEI 8952142"/>
    <x v="23"/>
    <x v="2"/>
    <s v="65/2021"/>
    <n v="155000"/>
    <n v="0"/>
    <n v="156080.78245"/>
    <n v="0"/>
    <m/>
    <m/>
    <m/>
    <m/>
    <m/>
    <m/>
    <m/>
    <m/>
    <m/>
    <m/>
    <m/>
    <m/>
    <m/>
    <s v="Nota de Crédito"/>
  </r>
  <r>
    <s v="NC 2021 - SEI 8952142"/>
    <x v="24"/>
    <x v="2"/>
    <s v="66/2021"/>
    <n v="170000"/>
    <n v="0"/>
    <n v="171185.3743"/>
    <n v="0"/>
    <m/>
    <m/>
    <m/>
    <m/>
    <m/>
    <m/>
    <m/>
    <m/>
    <m/>
    <m/>
    <m/>
    <m/>
    <m/>
    <s v="Nota de Crédito"/>
  </r>
  <r>
    <s v="NC 2021 - SEI 8952142"/>
    <x v="26"/>
    <x v="2"/>
    <s v="67/2021"/>
    <n v="93000"/>
    <n v="0"/>
    <n v="93648.469469999996"/>
    <n v="0"/>
    <m/>
    <m/>
    <m/>
    <m/>
    <m/>
    <m/>
    <m/>
    <m/>
    <m/>
    <m/>
    <m/>
    <m/>
    <m/>
    <s v="Nota de Crédito"/>
  </r>
  <r>
    <s v="NC 2021 - SEI 8952142"/>
    <x v="27"/>
    <x v="2"/>
    <s v="68/2021"/>
    <n v="93000"/>
    <n v="0"/>
    <n v="93648.469469999996"/>
    <n v="0"/>
    <m/>
    <m/>
    <m/>
    <m/>
    <m/>
    <m/>
    <m/>
    <m/>
    <m/>
    <m/>
    <m/>
    <m/>
    <m/>
    <s v="Nota de Crédito"/>
  </r>
  <r>
    <s v="NC 2021 - SEI 8952142"/>
    <x v="28"/>
    <x v="2"/>
    <s v="69/2021"/>
    <n v="170000"/>
    <n v="0"/>
    <n v="171185.3743"/>
    <n v="0"/>
    <m/>
    <m/>
    <m/>
    <m/>
    <m/>
    <m/>
    <m/>
    <m/>
    <m/>
    <m/>
    <m/>
    <m/>
    <m/>
    <s v="Nota de Crédito"/>
  </r>
  <r>
    <s v="NC 2021 - SEI 8952142"/>
    <x v="29"/>
    <x v="2"/>
    <s v="70/2021"/>
    <n v="93000"/>
    <n v="0"/>
    <n v="93648.469469999996"/>
    <n v="0"/>
    <m/>
    <m/>
    <m/>
    <m/>
    <m/>
    <m/>
    <m/>
    <m/>
    <m/>
    <m/>
    <m/>
    <m/>
    <m/>
    <s v="Nota de Crédito"/>
  </r>
  <r>
    <s v="NC 2021 - SEI 8952142"/>
    <x v="34"/>
    <x v="2"/>
    <s v="71/2021"/>
    <n v="192996"/>
    <n v="0"/>
    <n v="194341.72057884"/>
    <n v="0"/>
    <m/>
    <m/>
    <m/>
    <m/>
    <m/>
    <m/>
    <m/>
    <m/>
    <m/>
    <m/>
    <m/>
    <m/>
    <m/>
    <s v="Nota de Crédito"/>
  </r>
  <r>
    <s v="NC 2021 - SEI 8952142"/>
    <x v="36"/>
    <x v="2"/>
    <s v="72/2021"/>
    <n v="132614"/>
    <n v="0"/>
    <n v="133538.68957305999"/>
    <n v="0"/>
    <m/>
    <m/>
    <m/>
    <m/>
    <m/>
    <m/>
    <m/>
    <m/>
    <m/>
    <m/>
    <m/>
    <m/>
    <m/>
    <s v="Nota de Crédito"/>
  </r>
  <r>
    <s v="NC 2021 - SEI 8952142"/>
    <x v="38"/>
    <x v="2"/>
    <s v="73/2021"/>
    <n v="141000"/>
    <n v="0"/>
    <n v="141983.16339"/>
    <n v="0"/>
    <m/>
    <m/>
    <m/>
    <m/>
    <m/>
    <m/>
    <m/>
    <m/>
    <m/>
    <m/>
    <m/>
    <m/>
    <m/>
    <s v="Nota de Crédito"/>
  </r>
  <r>
    <s v="NC 2021 - SEI 8952142"/>
    <x v="37"/>
    <x v="2"/>
    <s v="74/2021"/>
    <n v="155000"/>
    <n v="0"/>
    <n v="156080.78245"/>
    <n v="0"/>
    <m/>
    <m/>
    <m/>
    <m/>
    <m/>
    <m/>
    <m/>
    <m/>
    <m/>
    <m/>
    <m/>
    <m/>
    <m/>
    <s v="Nota de Crédito"/>
  </r>
  <r>
    <s v="NC 2021 - SEI 8952142"/>
    <x v="39"/>
    <x v="2"/>
    <s v="75/2021"/>
    <n v="500000"/>
    <n v="0"/>
    <n v="503486.39500000002"/>
    <n v="0"/>
    <m/>
    <m/>
    <m/>
    <m/>
    <m/>
    <m/>
    <m/>
    <m/>
    <m/>
    <m/>
    <m/>
    <m/>
    <m/>
    <s v="Nota de Crédito"/>
  </r>
  <r>
    <s v="NC 2021 - SEI 8952142"/>
    <x v="8"/>
    <x v="2"/>
    <s v="76/2021"/>
    <n v="93000"/>
    <n v="0"/>
    <n v="93648.469469999996"/>
    <n v="0"/>
    <m/>
    <m/>
    <m/>
    <m/>
    <m/>
    <m/>
    <m/>
    <m/>
    <m/>
    <m/>
    <m/>
    <m/>
    <m/>
    <s v="Nota de Crédito"/>
  </r>
  <r>
    <s v="NC 2021 - SEI 8952142"/>
    <x v="25"/>
    <x v="2"/>
    <s v="77/2021"/>
    <n v="28000"/>
    <n v="0"/>
    <n v="28195.238120000002"/>
    <n v="0"/>
    <m/>
    <m/>
    <m/>
    <m/>
    <m/>
    <m/>
    <m/>
    <m/>
    <m/>
    <m/>
    <m/>
    <m/>
    <m/>
    <s v="Nota de Crédito"/>
  </r>
  <r>
    <s v="Nota de Crédito 2020"/>
    <x v="6"/>
    <x v="0"/>
    <s v="001/2020"/>
    <n v="0"/>
    <n v="0"/>
    <n v="0"/>
    <n v="0"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119490-2C14-4FE2-B412-49AE9146E141}" name="valorestotais" cacheId="10" applyNumberFormats="0" applyBorderFormats="0" applyFontFormats="0" applyPatternFormats="0" applyAlignmentFormats="0" applyWidthHeightFormats="1" dataCaption="Valores" showMissing="0" updatedVersion="7" minRefreshableVersion="3" itemPrintTitles="1" createdVersion="6" indent="0" outline="1" outlineData="1" multipleFieldFilters="0" rowHeaderCaption="Origem do Recurso">
  <location ref="C4:F11" firstHeaderRow="1" firstDataRow="2" firstDataCol="1"/>
  <pivotFields count="22">
    <pivotField showAll="0"/>
    <pivotField showAll="0"/>
    <pivotField showAll="0"/>
    <pivotField showAll="0"/>
    <pivotField dataField="1" showAll="0"/>
    <pivotField dataField="1" numFmtId="165" showAll="0"/>
    <pivotField dataField="1" numFmtId="165" showAll="0"/>
    <pivotField numFmtId="2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defaultSubtotal="0">
      <items count="6">
        <item x="2"/>
        <item x="3"/>
        <item x="4"/>
        <item x="0"/>
        <item x="5"/>
        <item h="1" x="1"/>
      </items>
    </pivotField>
  </pivotFields>
  <rowFields count="1">
    <field x="21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Total Empenhado" fld="4" baseField="0" baseItem="0" numFmtId="165"/>
    <dataField name="Valores Pagos" fld="5" baseField="0" baseItem="0" numFmtId="165"/>
    <dataField name="Saldo" fld="6" baseField="0" baseItem="0" numFmtId="165"/>
  </dataFields>
  <formats count="5">
    <format dxfId="302">
      <pivotArea type="all" dataOnly="0" outline="0" fieldPosition="0"/>
    </format>
    <format dxfId="301">
      <pivotArea field="-2" type="button" dataOnly="0" labelOnly="1" outline="0" axis="axisCol" fieldPosition="0"/>
    </format>
    <format dxfId="300">
      <pivotArea field="-2" type="button" dataOnly="0" labelOnly="1" outline="0" axis="axisCol" fieldPosition="0"/>
    </format>
    <format dxfId="299">
      <pivotArea dataOnly="0" labelOnly="1" fieldPosition="0">
        <references count="1">
          <reference field="21" count="1">
            <x v="4"/>
          </reference>
        </references>
      </pivotArea>
    </format>
    <format dxfId="298">
      <pivotArea dataOnly="0" labelOnly="1" fieldPosition="0">
        <references count="1">
          <reference field="21" count="1">
            <x v="4"/>
          </reference>
        </references>
      </pivotArea>
    </format>
  </formats>
  <pivotTableStyleInfo name="PivotStyleMedium11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A8F04D-8BC5-4119-8BEA-0BCF1795CA02}" name="InfoGeral" cacheId="10" applyNumberFormats="0" applyBorderFormats="0" applyFontFormats="0" applyPatternFormats="0" applyAlignmentFormats="0" applyWidthHeightFormats="1" dataCaption="Valores" showMissing="0" updatedVersion="7" minRefreshableVersion="3" showDrill="0" itemPrintTitles="1" createdVersion="6" indent="0" outline="1" outlineData="1" multipleFieldFilters="0" rowHeaderCaption="Origem do Recurso">
  <location ref="D6:G14" firstHeaderRow="1" firstDataRow="2" firstDataCol="1"/>
  <pivotFields count="22">
    <pivotField showAll="0"/>
    <pivotField showAll="0"/>
    <pivotField showAll="0"/>
    <pivotField showAll="0"/>
    <pivotField dataField="1" showAll="0"/>
    <pivotField dataField="1" numFmtId="165" showAll="0"/>
    <pivotField dataField="1" numFmtId="165" showAll="0"/>
    <pivotField numFmtId="2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defaultSubtotal="0">
      <items count="6">
        <item x="2"/>
        <item x="3"/>
        <item x="4"/>
        <item x="0"/>
        <item x="5"/>
        <item x="1"/>
      </items>
    </pivotField>
  </pivotFields>
  <rowFields count="1">
    <field x="21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a de Valor Empenhado" fld="4" baseField="0" baseItem="0" numFmtId="165"/>
    <dataField name="Soma de Valor Pago" fld="5" baseField="0" baseItem="0" numFmtId="165"/>
    <dataField name="Soma de Saldo do Empenho" fld="6" baseField="0" baseItem="0" numFmtId="165"/>
  </dataFields>
  <formats count="15">
    <format dxfId="180">
      <pivotArea outline="0" collapsedLevelsAreSubtotals="1" fieldPosition="0"/>
    </format>
    <format dxfId="179">
      <pivotArea dataOnly="0" labelOnly="1" grandRow="1" outline="0" fieldPosition="0"/>
    </format>
    <format dxfId="178">
      <pivotArea type="origin" dataOnly="0" labelOnly="1" outline="0" fieldPosition="0"/>
    </format>
    <format dxfId="177">
      <pivotArea field="-2" type="button" dataOnly="0" labelOnly="1" outline="0" axis="axisCol" fieldPosition="0"/>
    </format>
    <format dxfId="176">
      <pivotArea type="topRight" dataOnly="0" labelOnly="1" outline="0" fieldPosition="0"/>
    </format>
    <format dxfId="17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4">
      <pivotArea field="-2" type="button" dataOnly="0" labelOnly="1" outline="0" axis="axisCol" fieldPosition="0"/>
    </format>
    <format dxfId="173">
      <pivotArea type="topRight" dataOnly="0" labelOnly="1" outline="0" offset="B1" fieldPosition="0"/>
    </format>
    <format dxfId="172">
      <pivotArea type="topRight" dataOnly="0" labelOnly="1" outline="0" offset="B1" fieldPosition="0"/>
    </format>
    <format dxfId="171">
      <pivotArea type="origin" dataOnly="0" labelOnly="1" outline="0" fieldPosition="0"/>
    </format>
    <format dxfId="170">
      <pivotArea field="-2" type="button" dataOnly="0" labelOnly="1" outline="0" axis="axisCol" fieldPosition="0"/>
    </format>
    <format dxfId="169">
      <pivotArea type="topRight" dataOnly="0" labelOnly="1" outline="0" fieldPosition="0"/>
    </format>
    <format dxfId="16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7">
      <pivotArea dataOnly="0" labelOnly="1" fieldPosition="0">
        <references count="1">
          <reference field="21" count="1">
            <x v="4"/>
          </reference>
        </references>
      </pivotArea>
    </format>
    <format dxfId="166">
      <pivotArea dataOnly="0" labelOnly="1" fieldPosition="0">
        <references count="1">
          <reference field="21" count="1">
            <x v="4"/>
          </reference>
        </references>
      </pivotArea>
    </format>
  </formats>
  <pivotTableStyleInfo name="PivotStyleLight15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655B40-3D96-4C73-BCE8-AEBFEA326335}" name="Tabela dinâmica2" cacheId="10" dataOnRows="1" applyNumberFormats="0" applyBorderFormats="0" applyFontFormats="0" applyPatternFormats="0" applyAlignmentFormats="0" applyWidthHeightFormats="1" dataCaption="Mês" updatedVersion="7" minRefreshableVersion="3" showCalcMbrs="0" rowGrandTotals="0" itemPrintTitles="1" createdVersion="3" indent="0" outline="1" outlineData="1" multipleFieldFilters="0">
  <location ref="D17:H33" firstHeaderRow="1" firstDataRow="2" firstDataCol="1"/>
  <pivotFields count="22">
    <pivotField showAll="0"/>
    <pivotField showAll="0"/>
    <pivotField axis="axisCol" showAll="0">
      <items count="4">
        <item x="0"/>
        <item x="2"/>
        <item x="1"/>
        <item t="default"/>
      </items>
    </pivotField>
    <pivotField showAll="0"/>
    <pivotField dataField="1" showAll="0"/>
    <pivotField dataField="1" numFmtId="165" showAll="0"/>
    <pivotField dataField="1" numFmtId="165" showAll="0"/>
    <pivotField numFmtId="2"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2"/>
  </colFields>
  <colItems count="4">
    <i>
      <x/>
    </i>
    <i>
      <x v="1"/>
    </i>
    <i>
      <x v="2"/>
    </i>
    <i t="grand">
      <x/>
    </i>
  </colItems>
  <dataFields count="15">
    <dataField name="Jan" fld="9" baseField="0" baseItem="0" numFmtId="167"/>
    <dataField name="Fev" fld="10" baseField="0" baseItem="0" numFmtId="167"/>
    <dataField name="Mar" fld="11" baseField="0" baseItem="0" numFmtId="167"/>
    <dataField name="Abr" fld="12" baseField="0" baseItem="0" numFmtId="167"/>
    <dataField name="Mai" fld="13" baseField="0" baseItem="0" numFmtId="167"/>
    <dataField name="Jun" fld="14" baseField="0" baseItem="0" numFmtId="167"/>
    <dataField name="Jul" fld="15" baseField="0" baseItem="0" numFmtId="167"/>
    <dataField name="Ago" fld="16" baseField="0" baseItem="0" numFmtId="167"/>
    <dataField name="Set" fld="17" baseField="0" baseItem="0" numFmtId="167"/>
    <dataField name="Out" fld="18" baseField="0" baseItem="0" numFmtId="167"/>
    <dataField name="Nov" fld="19" baseField="0" baseItem="0" numFmtId="167"/>
    <dataField name="Dez" fld="20" baseField="0" baseItem="0" numFmtId="167"/>
    <dataField name="Total Empenhado" fld="4" baseField="0" baseItem="0" numFmtId="167"/>
    <dataField name="Total Pago" fld="5" baseField="0" baseItem="0" numFmtId="167"/>
    <dataField name="Saldo Empenhado" fld="6" baseField="0" baseItem="0" numFmtId="167"/>
  </dataFields>
  <formats count="41">
    <format dxfId="221">
      <pivotArea field="-2" type="button" dataOnly="0" labelOnly="1" outline="0" axis="axisRow" fieldPosition="0"/>
    </format>
    <format dxfId="220">
      <pivotArea dataOnly="0" labelOnly="1" fieldPosition="0">
        <references count="1">
          <reference field="2" count="1" defaultSubtotal="1">
            <x v="0"/>
          </reference>
        </references>
      </pivotArea>
    </format>
    <format dxfId="219">
      <pivotArea dataOnly="0" labelOnly="1" fieldPosition="0">
        <references count="1">
          <reference field="2" count="1" defaultSubtotal="1">
            <x v="1"/>
          </reference>
        </references>
      </pivotArea>
    </format>
    <format dxfId="218">
      <pivotArea dataOnly="0" labelOnly="1" grandCol="1" outline="0" fieldPosition="0"/>
    </format>
    <format dxfId="217">
      <pivotArea dataOnly="0" labelOnly="1" fieldPosition="0">
        <references count="1">
          <reference field="2" count="1" defaultSubtotal="1">
            <x v="0"/>
          </reference>
        </references>
      </pivotArea>
    </format>
    <format dxfId="216">
      <pivotArea dataOnly="0" labelOnly="1" fieldPosition="0">
        <references count="1">
          <reference field="2" count="1" defaultSubtotal="1">
            <x v="1"/>
          </reference>
        </references>
      </pivotArea>
    </format>
    <format dxfId="215">
      <pivotArea dataOnly="0" labelOnly="1" grandCol="1" outline="0" fieldPosition="0"/>
    </format>
    <format dxfId="214">
      <pivotArea dataOnly="0" labelOnly="1" fieldPosition="0">
        <references count="1">
          <reference field="2" count="1">
            <x v="0"/>
          </reference>
        </references>
      </pivotArea>
    </format>
    <format dxfId="213">
      <pivotArea dataOnly="0" labelOnly="1" fieldPosition="0">
        <references count="1">
          <reference field="2" count="1" defaultSubtotal="1">
            <x v="0"/>
          </reference>
        </references>
      </pivotArea>
    </format>
    <format dxfId="212">
      <pivotArea dataOnly="0" labelOnly="1" fieldPosition="0">
        <references count="1">
          <reference field="2" count="1">
            <x v="1"/>
          </reference>
        </references>
      </pivotArea>
    </format>
    <format dxfId="211">
      <pivotArea dataOnly="0" labelOnly="1" fieldPosition="0">
        <references count="1">
          <reference field="2" count="1" defaultSubtotal="1">
            <x v="1"/>
          </reference>
        </references>
      </pivotArea>
    </format>
    <format dxfId="210">
      <pivotArea dataOnly="0" labelOnly="1" grandCol="1" outline="0" fieldPosition="0"/>
    </format>
    <format dxfId="209">
      <pivotArea type="all" dataOnly="0" outline="0" fieldPosition="0"/>
    </format>
    <format dxfId="208">
      <pivotArea outline="0" collapsedLevelsAreSubtotals="1" fieldPosition="0"/>
    </format>
    <format dxfId="207">
      <pivotArea type="origin" dataOnly="0" labelOnly="1" outline="0" fieldPosition="0"/>
    </format>
    <format dxfId="206">
      <pivotArea field="2" type="button" dataOnly="0" labelOnly="1" outline="0" axis="axisCol" fieldPosition="0"/>
    </format>
    <format dxfId="205">
      <pivotArea type="topRight" dataOnly="0" labelOnly="1" outline="0" fieldPosition="0"/>
    </format>
    <format dxfId="204">
      <pivotArea field="-2" type="button" dataOnly="0" labelOnly="1" outline="0" axis="axisRow" fieldPosition="0"/>
    </format>
    <format dxfId="203">
      <pivotArea dataOnly="0" labelOnly="1" outline="0" fieldPosition="0">
        <references count="1">
          <reference field="4294967294" count="11"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  <format dxfId="202">
      <pivotArea dataOnly="0" labelOnly="1" fieldPosition="0">
        <references count="1">
          <reference field="2" count="2">
            <x v="0"/>
            <x v="1"/>
          </reference>
        </references>
      </pivotArea>
    </format>
    <format dxfId="201">
      <pivotArea dataOnly="0" labelOnly="1" grandCol="1" outline="0" fieldPosition="0"/>
    </format>
    <format dxfId="200">
      <pivotArea outline="0" fieldPosition="0">
        <references count="1">
          <reference field="4294967294" count="1">
            <x v="0"/>
          </reference>
        </references>
      </pivotArea>
    </format>
    <format dxfId="199">
      <pivotArea collapsedLevelsAreSubtotals="1" fieldPosition="0">
        <references count="1">
          <reference field="4294967294" count="3">
            <x v="12"/>
            <x v="13"/>
            <x v="14"/>
          </reference>
        </references>
      </pivotArea>
    </format>
    <format dxfId="198">
      <pivotArea dataOnly="0" labelOnly="1" outline="0" fieldPosition="0">
        <references count="1">
          <reference field="4294967294" count="3">
            <x v="12"/>
            <x v="13"/>
            <x v="14"/>
          </reference>
        </references>
      </pivotArea>
    </format>
    <format dxfId="197">
      <pivotArea outline="0" collapsedLevelsAreSubtotals="1" fieldPosition="0"/>
    </format>
    <format dxfId="196">
      <pivotArea dataOnly="0" labelOnly="1" outline="0" fieldPosition="0">
        <references count="1">
          <reference field="4294967294" count="15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</reference>
        </references>
      </pivotArea>
    </format>
    <format dxfId="195">
      <pivotArea field="2" type="button" dataOnly="0" labelOnly="1" outline="0" axis="axisCol" fieldPosition="0"/>
    </format>
    <format dxfId="194">
      <pivotArea outline="0" fieldPosition="0">
        <references count="1">
          <reference field="4294967294" count="1">
            <x v="14"/>
          </reference>
        </references>
      </pivotArea>
    </format>
    <format dxfId="193">
      <pivotArea outline="0" fieldPosition="0">
        <references count="1">
          <reference field="4294967294" count="1">
            <x v="13"/>
          </reference>
        </references>
      </pivotArea>
    </format>
    <format dxfId="192">
      <pivotArea outline="0" fieldPosition="0">
        <references count="1">
          <reference field="4294967294" count="1">
            <x v="12"/>
          </reference>
        </references>
      </pivotArea>
    </format>
    <format dxfId="191">
      <pivotArea field="2" type="button" dataOnly="0" labelOnly="1" outline="0" axis="axisCol" fieldPosition="0"/>
    </format>
    <format dxfId="190">
      <pivotArea collapsedLevelsAreSubtotals="1" fieldPosition="0">
        <references count="1">
          <reference field="4294967294" count="1">
            <x v="14"/>
          </reference>
        </references>
      </pivotArea>
    </format>
    <format dxfId="189">
      <pivotArea dataOnly="0" outline="0" fieldPosition="0">
        <references count="1">
          <reference field="4294967294" count="1">
            <x v="13"/>
          </reference>
        </references>
      </pivotArea>
    </format>
    <format dxfId="188">
      <pivotArea type="origin" dataOnly="0" labelOnly="1" outline="0" fieldPosition="0"/>
    </format>
    <format dxfId="187">
      <pivotArea field="-2" type="button" dataOnly="0" labelOnly="1" outline="0" axis="axisRow" fieldPosition="0"/>
    </format>
    <format dxfId="186">
      <pivotArea field="2" type="button" dataOnly="0" labelOnly="1" outline="0" axis="axisCol" fieldPosition="0"/>
    </format>
    <format dxfId="185">
      <pivotArea type="topRight" dataOnly="0" labelOnly="1" outline="0" fieldPosition="0"/>
    </format>
    <format dxfId="184">
      <pivotArea dataOnly="0" labelOnly="1" fieldPosition="0">
        <references count="1">
          <reference field="2" count="0"/>
        </references>
      </pivotArea>
    </format>
    <format dxfId="183">
      <pivotArea dataOnly="0" labelOnly="1" grandCol="1" outline="0" fieldPosition="0"/>
    </format>
    <format dxfId="182">
      <pivotArea collapsedLevelsAreSubtotals="1" fieldPosition="0">
        <references count="1">
          <reference field="4294967294" count="1">
            <x v="14"/>
          </reference>
        </references>
      </pivotArea>
    </format>
    <format dxfId="181">
      <pivotArea dataOnly="0" labelOnly="1" outline="0" fieldPosition="0">
        <references count="1">
          <reference field="4294967294" count="1">
            <x v="14"/>
          </reference>
        </references>
      </pivotArea>
    </format>
  </formats>
  <pivotTableStyleInfo name="PivotStyleLight15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32253B-D837-4E5C-B41E-B92008F61CDE}" name="InfoProponente" cacheId="10" dataOnRows="1" applyNumberFormats="0" applyBorderFormats="0" applyFontFormats="0" applyPatternFormats="0" applyAlignmentFormats="0" applyWidthHeightFormats="1" dataCaption="Mês" showMissing="0" updatedVersion="7" minRefreshableVersion="3" showCalcMbrs="0" itemPrintTitles="1" createdVersion="3" indent="0" outline="1" outlineData="1" multipleFieldFilters="0">
  <location ref="L6:O22" firstHeaderRow="1" firstDataRow="2" firstDataCol="1"/>
  <pivotFields count="22">
    <pivotField showAll="0"/>
    <pivotField multipleItemSelectionAllowed="1" showAll="0">
      <items count="47">
        <item h="1" m="1" x="40"/>
        <item h="1" x="2"/>
        <item h="1" x="3"/>
        <item h="1" x="4"/>
        <item h="1" x="5"/>
        <item h="1" x="6"/>
        <item h="1" x="7"/>
        <item x="8"/>
        <item h="1" x="9"/>
        <item h="1" m="1" x="45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m="1" x="4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9"/>
        <item h="1" m="1" x="43"/>
        <item h="1" m="1" x="42"/>
        <item h="1" x="31"/>
        <item h="1" x="32"/>
        <item h="1" x="30"/>
        <item h="1" x="33"/>
        <item h="1" x="34"/>
        <item h="1" m="1" x="44"/>
        <item h="1" x="0"/>
        <item h="1" x="35"/>
        <item h="1" x="36"/>
        <item h="1" x="37"/>
        <item h="1" x="38"/>
        <item h="1" x="1"/>
        <item t="default"/>
      </items>
    </pivotField>
    <pivotField axis="axisCol" showAll="0" defaultSubtotal="0">
      <items count="3">
        <item x="0"/>
        <item x="2"/>
        <item x="1"/>
      </items>
    </pivotField>
    <pivotField showAll="0"/>
    <pivotField dataField="1" showAll="0"/>
    <pivotField dataField="1" numFmtId="165" showAll="0"/>
    <pivotField dataField="1" numFmtId="165" showAll="0"/>
    <pivotField numFmtId="2"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2"/>
  </colFields>
  <colItems count="3">
    <i>
      <x/>
    </i>
    <i>
      <x v="1"/>
    </i>
    <i t="grand">
      <x/>
    </i>
  </colItems>
  <dataFields count="15">
    <dataField name="Jan" fld="9" baseField="0" baseItem="0" numFmtId="167"/>
    <dataField name="Fev" fld="10" baseField="0" baseItem="0" numFmtId="167"/>
    <dataField name="Mar" fld="11" baseField="0" baseItem="0" numFmtId="167"/>
    <dataField name="Abr" fld="12" baseField="0" baseItem="0" numFmtId="167"/>
    <dataField name="Mai" fld="13" baseField="0" baseItem="0" numFmtId="167"/>
    <dataField name="Jun" fld="14" baseField="0" baseItem="0" numFmtId="167"/>
    <dataField name="Jul" fld="15" baseField="0" baseItem="0" numFmtId="167"/>
    <dataField name="Ago" fld="16" baseField="0" baseItem="0" numFmtId="167"/>
    <dataField name="Set" fld="17" baseField="0" baseItem="0" numFmtId="167"/>
    <dataField name="Out" fld="18" baseField="0" baseItem="0" numFmtId="167"/>
    <dataField name="Nov" fld="19" baseField="0" baseItem="0" numFmtId="167"/>
    <dataField name="Dez" fld="20" baseField="0" baseItem="0" numFmtId="167"/>
    <dataField name="Total Empenhado" fld="4" baseField="0" baseItem="0" numFmtId="167"/>
    <dataField name="Total Pago" fld="5" baseField="0" baseItem="0" numFmtId="167"/>
    <dataField name="Saldo" fld="6" baseField="0" baseItem="0" numFmtId="167"/>
  </dataFields>
  <formats count="60">
    <format dxfId="281">
      <pivotArea dataOnly="0" labelOnly="1" outline="0" fieldPosition="0">
        <references count="1">
          <reference field="4294967294" count="1">
            <x v="12"/>
          </reference>
        </references>
      </pivotArea>
    </format>
    <format dxfId="280">
      <pivotArea dataOnly="0" labelOnly="1" outline="0" fieldPosition="0">
        <references count="1">
          <reference field="4294967294" count="1">
            <x v="14"/>
          </reference>
        </references>
      </pivotArea>
    </format>
    <format dxfId="279">
      <pivotArea dataOnly="0" labelOnly="1" outline="0" fieldPosition="0">
        <references count="1">
          <reference field="4294967294" count="1">
            <x v="13"/>
          </reference>
        </references>
      </pivotArea>
    </format>
    <format dxfId="278">
      <pivotArea outline="0" fieldPosition="0">
        <references count="1">
          <reference field="4294967294" count="1">
            <x v="13"/>
          </reference>
        </references>
      </pivotArea>
    </format>
    <format dxfId="277">
      <pivotArea field="-2" type="button" dataOnly="0" labelOnly="1" outline="0" axis="axisRow" fieldPosition="0"/>
    </format>
    <format dxfId="276">
      <pivotArea dataOnly="0" labelOnly="1" fieldPosition="0">
        <references count="1">
          <reference field="2" count="1" defaultSubtotal="1">
            <x v="0"/>
          </reference>
        </references>
      </pivotArea>
    </format>
    <format dxfId="275">
      <pivotArea dataOnly="0" labelOnly="1" fieldPosition="0">
        <references count="1">
          <reference field="2" count="1" defaultSubtotal="1">
            <x v="1"/>
          </reference>
        </references>
      </pivotArea>
    </format>
    <format dxfId="274">
      <pivotArea dataOnly="0" labelOnly="1" grandCol="1" outline="0" fieldPosition="0"/>
    </format>
    <format dxfId="273">
      <pivotArea dataOnly="0" labelOnly="1" fieldPosition="0">
        <references count="1">
          <reference field="2" count="1" defaultSubtotal="1">
            <x v="0"/>
          </reference>
        </references>
      </pivotArea>
    </format>
    <format dxfId="272">
      <pivotArea dataOnly="0" labelOnly="1" fieldPosition="0">
        <references count="1">
          <reference field="2" count="1" defaultSubtotal="1">
            <x v="1"/>
          </reference>
        </references>
      </pivotArea>
    </format>
    <format dxfId="271">
      <pivotArea dataOnly="0" labelOnly="1" grandCol="1" outline="0" fieldPosition="0"/>
    </format>
    <format dxfId="270">
      <pivotArea dataOnly="0" labelOnly="1" fieldPosition="0">
        <references count="1">
          <reference field="2" count="1">
            <x v="0"/>
          </reference>
        </references>
      </pivotArea>
    </format>
    <format dxfId="269">
      <pivotArea dataOnly="0" labelOnly="1" fieldPosition="0">
        <references count="1">
          <reference field="2" count="1" defaultSubtotal="1">
            <x v="0"/>
          </reference>
        </references>
      </pivotArea>
    </format>
    <format dxfId="268">
      <pivotArea dataOnly="0" labelOnly="1" fieldPosition="0">
        <references count="1">
          <reference field="2" count="1">
            <x v="1"/>
          </reference>
        </references>
      </pivotArea>
    </format>
    <format dxfId="267">
      <pivotArea dataOnly="0" labelOnly="1" fieldPosition="0">
        <references count="1">
          <reference field="2" count="1" defaultSubtotal="1">
            <x v="1"/>
          </reference>
        </references>
      </pivotArea>
    </format>
    <format dxfId="266">
      <pivotArea dataOnly="0" labelOnly="1" grandCol="1" outline="0" fieldPosition="0"/>
    </format>
    <format dxfId="265">
      <pivotArea collapsedLevelsAreSubtotals="1" fieldPosition="0">
        <references count="1">
          <reference field="4294967294" count="2">
            <x v="12"/>
            <x v="13"/>
          </reference>
        </references>
      </pivotArea>
    </format>
    <format dxfId="264">
      <pivotArea dataOnly="0" labelOnly="1" outline="0" fieldPosition="0">
        <references count="1">
          <reference field="4294967294" count="2">
            <x v="12"/>
            <x v="13"/>
          </reference>
        </references>
      </pivotArea>
    </format>
    <format dxfId="263">
      <pivotArea collapsedLevelsAreSubtotals="1" fieldPosition="0">
        <references count="1">
          <reference field="4294967294" count="1">
            <x v="14"/>
          </reference>
        </references>
      </pivotArea>
    </format>
    <format dxfId="262">
      <pivotArea dataOnly="0" labelOnly="1" outline="0" fieldPosition="0">
        <references count="1">
          <reference field="4294967294" count="1">
            <x v="14"/>
          </reference>
        </references>
      </pivotArea>
    </format>
    <format dxfId="261">
      <pivotArea type="all" dataOnly="0" outline="0" fieldPosition="0"/>
    </format>
    <format dxfId="260">
      <pivotArea outline="0" collapsedLevelsAreSubtotals="1" fieldPosition="0"/>
    </format>
    <format dxfId="259">
      <pivotArea type="origin" dataOnly="0" labelOnly="1" outline="0" fieldPosition="0"/>
    </format>
    <format dxfId="258">
      <pivotArea field="2" type="button" dataOnly="0" labelOnly="1" outline="0" axis="axisCol" fieldPosition="0"/>
    </format>
    <format dxfId="257">
      <pivotArea type="topRight" dataOnly="0" labelOnly="1" outline="0" fieldPosition="0"/>
    </format>
    <format dxfId="256">
      <pivotArea field="-2" type="button" dataOnly="0" labelOnly="1" outline="0" axis="axisRow" fieldPosition="0"/>
    </format>
    <format dxfId="255">
      <pivotArea dataOnly="0" labelOnly="1" outline="0" fieldPosition="0">
        <references count="1">
          <reference field="4294967294" count="15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</reference>
        </references>
      </pivotArea>
    </format>
    <format dxfId="254">
      <pivotArea dataOnly="0" labelOnly="1" fieldPosition="0">
        <references count="1">
          <reference field="2" count="2">
            <x v="0"/>
            <x v="1"/>
          </reference>
        </references>
      </pivotArea>
    </format>
    <format dxfId="253">
      <pivotArea dataOnly="0" labelOnly="1" grandCol="1" outline="0" fieldPosition="0"/>
    </format>
    <format dxfId="252">
      <pivotArea outline="0" collapsedLevelsAreSubtotals="1" fieldPosition="0"/>
    </format>
    <format dxfId="251">
      <pivotArea dataOnly="0" labelOnly="1" outline="0" fieldPosition="0">
        <references count="1">
          <reference field="4294967294" count="15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</reference>
        </references>
      </pivotArea>
    </format>
    <format dxfId="250">
      <pivotArea type="origin" dataOnly="0" labelOnly="1" outline="0" fieldPosition="0"/>
    </format>
    <format dxfId="249">
      <pivotArea field="-2" type="button" dataOnly="0" labelOnly="1" outline="0" axis="axisRow" fieldPosition="0"/>
    </format>
    <format dxfId="248">
      <pivotArea field="2" type="button" dataOnly="0" labelOnly="1" outline="0" axis="axisCol" fieldPosition="0"/>
    </format>
    <format dxfId="247">
      <pivotArea type="topRight" dataOnly="0" labelOnly="1" outline="0" fieldPosition="0"/>
    </format>
    <format dxfId="246">
      <pivotArea dataOnly="0" labelOnly="1" fieldPosition="0">
        <references count="1">
          <reference field="2" count="2">
            <x v="0"/>
            <x v="1"/>
          </reference>
        </references>
      </pivotArea>
    </format>
    <format dxfId="245">
      <pivotArea dataOnly="0" labelOnly="1" grandCol="1" outline="0" fieldPosition="0"/>
    </format>
    <format dxfId="244">
      <pivotArea collapsedLevelsAreSubtotals="1" fieldPosition="0">
        <references count="1">
          <reference field="4294967294" count="1">
            <x v="14"/>
          </reference>
        </references>
      </pivotArea>
    </format>
    <format dxfId="243">
      <pivotArea collapsedLevelsAreSubtotals="1" fieldPosition="0">
        <references count="1">
          <reference field="4294967294" count="1">
            <x v="13"/>
          </reference>
        </references>
      </pivotArea>
    </format>
    <format dxfId="242">
      <pivotArea dataOnly="0" labelOnly="1" outline="0" fieldPosition="0">
        <references count="1">
          <reference field="4294967294" count="1">
            <x v="13"/>
          </reference>
        </references>
      </pivotArea>
    </format>
    <format dxfId="241">
      <pivotArea field="2" type="button" dataOnly="0" labelOnly="1" outline="0" axis="axisCol" fieldPosition="0"/>
    </format>
    <format dxfId="240">
      <pivotArea field="2" type="button" dataOnly="0" labelOnly="1" outline="0" axis="axisCol" fieldPosition="0"/>
    </format>
    <format dxfId="239">
      <pivotArea field="2" type="button" dataOnly="0" labelOnly="1" outline="0" axis="axisCol" fieldPosition="0"/>
    </format>
    <format dxfId="238">
      <pivotArea type="origin" dataOnly="0" labelOnly="1" outline="0" fieldPosition="0"/>
    </format>
    <format dxfId="237">
      <pivotArea field="-2" type="button" dataOnly="0" labelOnly="1" outline="0" axis="axisRow" fieldPosition="0"/>
    </format>
    <format dxfId="236">
      <pivotArea field="2" type="button" dataOnly="0" labelOnly="1" outline="0" axis="axisCol" fieldPosition="0"/>
    </format>
    <format dxfId="235">
      <pivotArea type="topRight" dataOnly="0" labelOnly="1" outline="0" fieldPosition="0"/>
    </format>
    <format dxfId="234">
      <pivotArea dataOnly="0" labelOnly="1" fieldPosition="0">
        <references count="1">
          <reference field="2" count="2">
            <x v="0"/>
            <x v="1"/>
          </reference>
        </references>
      </pivotArea>
    </format>
    <format dxfId="233">
      <pivotArea dataOnly="0" labelOnly="1" grandCol="1" outline="0" fieldPosition="0"/>
    </format>
    <format dxfId="232">
      <pivotArea type="origin" dataOnly="0" labelOnly="1" outline="0" fieldPosition="0"/>
    </format>
    <format dxfId="231">
      <pivotArea field="-2" type="button" dataOnly="0" labelOnly="1" outline="0" axis="axisRow" fieldPosition="0"/>
    </format>
    <format dxfId="230">
      <pivotArea field="2" type="button" dataOnly="0" labelOnly="1" outline="0" axis="axisCol" fieldPosition="0"/>
    </format>
    <format dxfId="229">
      <pivotArea type="topRight" dataOnly="0" labelOnly="1" outline="0" fieldPosition="0"/>
    </format>
    <format dxfId="228">
      <pivotArea dataOnly="0" labelOnly="1" fieldPosition="0">
        <references count="1">
          <reference field="2" count="2">
            <x v="0"/>
            <x v="1"/>
          </reference>
        </references>
      </pivotArea>
    </format>
    <format dxfId="227">
      <pivotArea dataOnly="0" labelOnly="1" grandCol="1" outline="0" fieldPosition="0"/>
    </format>
    <format dxfId="226">
      <pivotArea field="2" type="button" dataOnly="0" labelOnly="1" outline="0" axis="axisCol" fieldPosition="0"/>
    </format>
    <format dxfId="225">
      <pivotArea field="2" type="button" dataOnly="0" labelOnly="1" outline="0" axis="axisCol" fieldPosition="0"/>
    </format>
    <format dxfId="224">
      <pivotArea type="topRight" dataOnly="0" labelOnly="1" outline="0" fieldPosition="0"/>
    </format>
    <format dxfId="223">
      <pivotArea field="2" type="button" dataOnly="0" labelOnly="1" outline="0" axis="axisCol" fieldPosition="0"/>
    </format>
    <format dxfId="222">
      <pivotArea type="topRight" dataOnly="0" labelOnly="1" outline="0" fieldPosition="0"/>
    </format>
  </formats>
  <pivotTableStyleInfo name="PivotStyleLight18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C067B7-329A-419D-AE34-8BDAB91760AE}" name="Tabela dinâmica1" cacheId="11" applyNumberFormats="0" applyBorderFormats="0" applyFontFormats="0" applyPatternFormats="0" applyAlignmentFormats="0" applyWidthHeightFormats="1" dataCaption="Valores" grandTotalCaption="Consumo %" updatedVersion="7" minRefreshableVersion="3" useAutoFormatting="1" rowGrandTotals="0" colGrandTotals="0" itemPrintTitles="1" createdVersion="7" indent="0" outline="1" outlineData="1" multipleFieldFilters="0" chartFormat="3" rowHeaderCaption="NC ou Empenho" colHeaderCaption="Programa">
  <location ref="L28:N30" firstHeaderRow="1" firstDataRow="2" firstDataCol="1"/>
  <pivotFields count="22">
    <pivotField showAll="0"/>
    <pivotField showAll="0">
      <items count="47">
        <item h="1" m="1" x="40"/>
        <item x="2"/>
        <item h="1" x="3"/>
        <item h="1" x="4"/>
        <item h="1" x="5"/>
        <item h="1" x="6"/>
        <item h="1" x="7"/>
        <item h="1" x="8"/>
        <item h="1" x="9"/>
        <item h="1" m="1" x="45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m="1" x="4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9"/>
        <item h="1" m="1" x="43"/>
        <item h="1" m="1" x="42"/>
        <item h="1" x="31"/>
        <item h="1" x="32"/>
        <item h="1" x="30"/>
        <item h="1" x="33"/>
        <item h="1" x="34"/>
        <item h="1" m="1" x="44"/>
        <item h="1" x="0"/>
        <item h="1" x="35"/>
        <item h="1" x="36"/>
        <item h="1" x="37"/>
        <item h="1" x="38"/>
        <item h="1" x="1"/>
        <item t="default"/>
      </items>
    </pivotField>
    <pivotField axis="axisCol" multipleItemSelectionAllowed="1" showAll="0">
      <items count="4">
        <item x="0"/>
        <item x="2"/>
        <item h="1" x="1"/>
        <item t="default"/>
      </items>
    </pivotField>
    <pivotField showAll="0"/>
    <pivotField numFmtId="165" showAll="0"/>
    <pivotField numFmtId="165" showAll="0"/>
    <pivotField numFmtId="165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Items count="1">
    <i/>
  </rowItems>
  <colFields count="1">
    <field x="2"/>
  </colFields>
  <colItems count="2">
    <i>
      <x/>
    </i>
    <i>
      <x v="1"/>
    </i>
  </colItems>
  <dataFields count="1">
    <dataField name="Origem Recurso" fld="7" baseField="0" baseItem="0"/>
  </dataFields>
  <formats count="16">
    <format dxfId="297">
      <pivotArea type="all" dataOnly="0" outline="0" fieldPosition="0"/>
    </format>
    <format dxfId="296">
      <pivotArea outline="0" collapsedLevelsAreSubtotals="1" fieldPosition="0"/>
    </format>
    <format dxfId="295">
      <pivotArea type="origin" dataOnly="0" labelOnly="1" outline="0" fieldPosition="0"/>
    </format>
    <format dxfId="294">
      <pivotArea field="2" type="button" dataOnly="0" labelOnly="1" outline="0" axis="axisCol" fieldPosition="0"/>
    </format>
    <format dxfId="293">
      <pivotArea type="topRight" dataOnly="0" labelOnly="1" outline="0" fieldPosition="0"/>
    </format>
    <format dxfId="292">
      <pivotArea dataOnly="0" labelOnly="1" grandRow="1" outline="0" fieldPosition="0"/>
    </format>
    <format dxfId="291">
      <pivotArea dataOnly="0" labelOnly="1" grandCol="1" outline="0" fieldPosition="0"/>
    </format>
    <format dxfId="290">
      <pivotArea dataOnly="0" grandRow="1" axis="axisRow" fieldPosition="0"/>
    </format>
    <format dxfId="289">
      <pivotArea type="origin" dataOnly="0" labelOnly="1" outline="0" fieldPosition="0"/>
    </format>
    <format dxfId="288">
      <pivotArea dataOnly="0" labelOnly="1" fieldPosition="0">
        <references count="1">
          <reference field="2" count="0"/>
        </references>
      </pivotArea>
    </format>
    <format dxfId="287">
      <pivotArea field="2" type="button" dataOnly="0" labelOnly="1" outline="0" axis="axisCol" fieldPosition="0"/>
    </format>
    <format dxfId="286">
      <pivotArea dataOnly="0" labelOnly="1" fieldPosition="0">
        <references count="1">
          <reference field="2" count="0"/>
        </references>
      </pivotArea>
    </format>
    <format dxfId="285">
      <pivotArea dataOnly="0" labelOnly="1" grandCol="1" outline="0" fieldPosition="0"/>
    </format>
    <format dxfId="284">
      <pivotArea grandRow="1" outline="0" collapsedLevelsAreSubtotals="1" fieldPosition="0"/>
    </format>
    <format dxfId="283">
      <pivotArea dataOnly="0" labelOnly="1" grandRow="1" outline="0" fieldPosition="0"/>
    </format>
    <format dxfId="282">
      <pivotArea outline="0" collapsedLevelsAreSubtotals="1" fieldPosition="0"/>
    </format>
  </formats>
  <pivotTableStyleInfo name="Estilo de Tabela Dinâmica 1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DAF97A-71F6-4F36-A9D8-995C608DC397}" name="Tabela dinâmica2" cacheId="17" dataOnRows="1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rowHeaderCaption="Proponente" colHeaderCaption="">
  <location ref="R4:U176" firstHeaderRow="1" firstDataRow="2" firstDataCol="1"/>
  <pivotFields count="8">
    <pivotField axis="axisRow" subtotalTop="0" showAll="0">
      <items count="4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41"/>
        <item x="29"/>
        <item x="30"/>
        <item x="28"/>
        <item x="31"/>
        <item x="32"/>
        <item x="33"/>
        <item x="34"/>
        <item x="35"/>
        <item x="36"/>
        <item x="37"/>
        <item x="38"/>
        <item x="39"/>
        <item x="40"/>
        <item t="default"/>
      </items>
    </pivotField>
    <pivotField subtotalTop="0" showAll="0"/>
    <pivotField axis="axisCol" subtotalTop="0" showAll="0">
      <items count="3">
        <item x="0"/>
        <item x="1"/>
        <item t="default"/>
      </items>
    </pivotField>
    <pivotField subtotalTop="0" showAll="0">
      <items count="13">
        <item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t="default"/>
      </items>
    </pivotField>
    <pivotField dataField="1" subtotalTop="0" showAll="0"/>
    <pivotField numFmtId="44" subtotalTop="0" showAll="0"/>
    <pivotField dataField="1" subtotalTop="0" showAll="0"/>
    <pivotField dataField="1" subtotalTop="0" showAll="0"/>
  </pivotFields>
  <rowFields count="2">
    <field x="0"/>
    <field x="-2"/>
  </rowFields>
  <rowItems count="171">
    <i>
      <x/>
    </i>
    <i r="1">
      <x/>
    </i>
    <i r="1" i="1">
      <x v="1"/>
    </i>
    <i r="1" i="2">
      <x v="2"/>
    </i>
    <i>
      <x v="1"/>
    </i>
    <i r="1">
      <x/>
    </i>
    <i r="1" i="1">
      <x v="1"/>
    </i>
    <i r="1" i="2">
      <x v="2"/>
    </i>
    <i>
      <x v="2"/>
    </i>
    <i r="1">
      <x/>
    </i>
    <i r="1" i="1">
      <x v="1"/>
    </i>
    <i r="1" i="2">
      <x v="2"/>
    </i>
    <i>
      <x v="3"/>
    </i>
    <i r="1">
      <x/>
    </i>
    <i r="1" i="1">
      <x v="1"/>
    </i>
    <i r="1" i="2">
      <x v="2"/>
    </i>
    <i>
      <x v="4"/>
    </i>
    <i r="1">
      <x/>
    </i>
    <i r="1" i="1">
      <x v="1"/>
    </i>
    <i r="1" i="2">
      <x v="2"/>
    </i>
    <i>
      <x v="5"/>
    </i>
    <i r="1">
      <x/>
    </i>
    <i r="1" i="1">
      <x v="1"/>
    </i>
    <i r="1" i="2">
      <x v="2"/>
    </i>
    <i>
      <x v="6"/>
    </i>
    <i r="1">
      <x/>
    </i>
    <i r="1" i="1">
      <x v="1"/>
    </i>
    <i r="1" i="2">
      <x v="2"/>
    </i>
    <i>
      <x v="7"/>
    </i>
    <i r="1">
      <x/>
    </i>
    <i r="1" i="1">
      <x v="1"/>
    </i>
    <i r="1" i="2">
      <x v="2"/>
    </i>
    <i>
      <x v="8"/>
    </i>
    <i r="1">
      <x/>
    </i>
    <i r="1" i="1">
      <x v="1"/>
    </i>
    <i r="1" i="2">
      <x v="2"/>
    </i>
    <i>
      <x v="9"/>
    </i>
    <i r="1">
      <x/>
    </i>
    <i r="1" i="1">
      <x v="1"/>
    </i>
    <i r="1" i="2">
      <x v="2"/>
    </i>
    <i>
      <x v="10"/>
    </i>
    <i r="1">
      <x/>
    </i>
    <i r="1" i="1">
      <x v="1"/>
    </i>
    <i r="1" i="2">
      <x v="2"/>
    </i>
    <i>
      <x v="11"/>
    </i>
    <i r="1">
      <x/>
    </i>
    <i r="1" i="1">
      <x v="1"/>
    </i>
    <i r="1" i="2">
      <x v="2"/>
    </i>
    <i>
      <x v="12"/>
    </i>
    <i r="1">
      <x/>
    </i>
    <i r="1" i="1">
      <x v="1"/>
    </i>
    <i r="1" i="2">
      <x v="2"/>
    </i>
    <i>
      <x v="13"/>
    </i>
    <i r="1">
      <x/>
    </i>
    <i r="1" i="1">
      <x v="1"/>
    </i>
    <i r="1" i="2">
      <x v="2"/>
    </i>
    <i>
      <x v="14"/>
    </i>
    <i r="1">
      <x/>
    </i>
    <i r="1" i="1">
      <x v="1"/>
    </i>
    <i r="1" i="2">
      <x v="2"/>
    </i>
    <i>
      <x v="15"/>
    </i>
    <i r="1">
      <x/>
    </i>
    <i r="1" i="1">
      <x v="1"/>
    </i>
    <i r="1" i="2">
      <x v="2"/>
    </i>
    <i>
      <x v="16"/>
    </i>
    <i r="1">
      <x/>
    </i>
    <i r="1" i="1">
      <x v="1"/>
    </i>
    <i r="1" i="2">
      <x v="2"/>
    </i>
    <i>
      <x v="17"/>
    </i>
    <i r="1">
      <x/>
    </i>
    <i r="1" i="1">
      <x v="1"/>
    </i>
    <i r="1" i="2">
      <x v="2"/>
    </i>
    <i>
      <x v="18"/>
    </i>
    <i r="1">
      <x/>
    </i>
    <i r="1" i="1">
      <x v="1"/>
    </i>
    <i r="1" i="2">
      <x v="2"/>
    </i>
    <i>
      <x v="19"/>
    </i>
    <i r="1">
      <x/>
    </i>
    <i r="1" i="1">
      <x v="1"/>
    </i>
    <i r="1" i="2">
      <x v="2"/>
    </i>
    <i>
      <x v="20"/>
    </i>
    <i r="1">
      <x/>
    </i>
    <i r="1" i="1">
      <x v="1"/>
    </i>
    <i r="1" i="2">
      <x v="2"/>
    </i>
    <i>
      <x v="21"/>
    </i>
    <i r="1">
      <x/>
    </i>
    <i r="1" i="1">
      <x v="1"/>
    </i>
    <i r="1" i="2">
      <x v="2"/>
    </i>
    <i>
      <x v="22"/>
    </i>
    <i r="1">
      <x/>
    </i>
    <i r="1" i="1">
      <x v="1"/>
    </i>
    <i r="1" i="2">
      <x v="2"/>
    </i>
    <i>
      <x v="23"/>
    </i>
    <i r="1">
      <x/>
    </i>
    <i r="1" i="1">
      <x v="1"/>
    </i>
    <i r="1" i="2">
      <x v="2"/>
    </i>
    <i>
      <x v="24"/>
    </i>
    <i r="1">
      <x/>
    </i>
    <i r="1" i="1">
      <x v="1"/>
    </i>
    <i r="1" i="2">
      <x v="2"/>
    </i>
    <i>
      <x v="25"/>
    </i>
    <i r="1">
      <x/>
    </i>
    <i r="1" i="1">
      <x v="1"/>
    </i>
    <i r="1" i="2">
      <x v="2"/>
    </i>
    <i>
      <x v="26"/>
    </i>
    <i r="1">
      <x/>
    </i>
    <i r="1" i="1">
      <x v="1"/>
    </i>
    <i r="1" i="2">
      <x v="2"/>
    </i>
    <i>
      <x v="27"/>
    </i>
    <i r="1">
      <x/>
    </i>
    <i r="1" i="1">
      <x v="1"/>
    </i>
    <i r="1" i="2">
      <x v="2"/>
    </i>
    <i>
      <x v="28"/>
    </i>
    <i r="1">
      <x/>
    </i>
    <i r="1" i="1">
      <x v="1"/>
    </i>
    <i r="1" i="2">
      <x v="2"/>
    </i>
    <i>
      <x v="29"/>
    </i>
    <i r="1">
      <x/>
    </i>
    <i r="1" i="1">
      <x v="1"/>
    </i>
    <i r="1" i="2">
      <x v="2"/>
    </i>
    <i>
      <x v="30"/>
    </i>
    <i r="1">
      <x/>
    </i>
    <i r="1" i="1">
      <x v="1"/>
    </i>
    <i r="1" i="2">
      <x v="2"/>
    </i>
    <i>
      <x v="31"/>
    </i>
    <i r="1">
      <x/>
    </i>
    <i r="1" i="1">
      <x v="1"/>
    </i>
    <i r="1" i="2">
      <x v="2"/>
    </i>
    <i>
      <x v="32"/>
    </i>
    <i r="1">
      <x/>
    </i>
    <i r="1" i="1">
      <x v="1"/>
    </i>
    <i r="1" i="2">
      <x v="2"/>
    </i>
    <i>
      <x v="33"/>
    </i>
    <i r="1">
      <x/>
    </i>
    <i r="1" i="1">
      <x v="1"/>
    </i>
    <i r="1" i="2">
      <x v="2"/>
    </i>
    <i>
      <x v="34"/>
    </i>
    <i r="1">
      <x/>
    </i>
    <i r="1" i="1">
      <x v="1"/>
    </i>
    <i r="1" i="2">
      <x v="2"/>
    </i>
    <i>
      <x v="35"/>
    </i>
    <i r="1">
      <x/>
    </i>
    <i r="1" i="1">
      <x v="1"/>
    </i>
    <i r="1" i="2">
      <x v="2"/>
    </i>
    <i>
      <x v="36"/>
    </i>
    <i r="1">
      <x/>
    </i>
    <i r="1" i="1">
      <x v="1"/>
    </i>
    <i r="1" i="2">
      <x v="2"/>
    </i>
    <i>
      <x v="37"/>
    </i>
    <i r="1">
      <x/>
    </i>
    <i r="1" i="1">
      <x v="1"/>
    </i>
    <i r="1" i="2">
      <x v="2"/>
    </i>
    <i>
      <x v="38"/>
    </i>
    <i r="1">
      <x/>
    </i>
    <i r="1" i="1">
      <x v="1"/>
    </i>
    <i r="1" i="2">
      <x v="2"/>
    </i>
    <i>
      <x v="39"/>
    </i>
    <i r="1">
      <x/>
    </i>
    <i r="1" i="1">
      <x v="1"/>
    </i>
    <i r="1" i="2">
      <x v="2"/>
    </i>
    <i>
      <x v="40"/>
    </i>
    <i r="1">
      <x/>
    </i>
    <i r="1" i="1">
      <x v="1"/>
    </i>
    <i r="1" i="2">
      <x v="2"/>
    </i>
    <i>
      <x v="41"/>
    </i>
    <i r="1">
      <x/>
    </i>
    <i r="1" i="1">
      <x v="1"/>
    </i>
    <i r="1" i="2">
      <x v="2"/>
    </i>
    <i t="grand">
      <x/>
    </i>
    <i t="grand" i="1">
      <x/>
    </i>
    <i t="grand" i="2">
      <x/>
    </i>
  </rowItems>
  <colFields count="1">
    <field x="2"/>
  </colFields>
  <colItems count="3">
    <i>
      <x/>
    </i>
    <i>
      <x v="1"/>
    </i>
    <i t="grand">
      <x/>
    </i>
  </colItems>
  <dataFields count="3">
    <dataField name="Soma de Valor Faturado" fld="4" baseField="0" baseItem="0"/>
    <dataField name="Soma de Valor Utilizado" fld="6" baseField="0" baseItem="0"/>
    <dataField name="Soma de Saldo no Período" fld="7" baseField="0" baseItem="0"/>
  </dataFields>
  <formats count="83">
    <format dxfId="165">
      <pivotArea collapsedLevelsAreSubtotals="1" fieldPosition="0">
        <references count="1">
          <reference field="0" count="1">
            <x v="0"/>
          </reference>
        </references>
      </pivotArea>
    </format>
    <format dxfId="164">
      <pivotArea field="0" type="button" dataOnly="0" labelOnly="1" outline="0" axis="axisRow" fieldPosition="0"/>
    </format>
    <format dxfId="163">
      <pivotArea dataOnly="0" labelOnly="1" fieldPosition="0">
        <references count="1">
          <reference field="2" count="0"/>
        </references>
      </pivotArea>
    </format>
    <format dxfId="162">
      <pivotArea dataOnly="0" labelOnly="1" grandCol="1" outline="0" fieldPosition="0"/>
    </format>
    <format dxfId="161">
      <pivotArea field="0" grandRow="1" outline="0" collapsedLevelsAreSubtotals="1" axis="axisRow" fieldPosition="0">
        <references count="1">
          <reference field="4294967294" count="3" selected="0">
            <x v="0"/>
            <x v="1"/>
            <x v="2"/>
          </reference>
        </references>
      </pivotArea>
    </format>
    <format dxfId="160">
      <pivotArea collapsedLevelsAreSubtotals="1" fieldPosition="0">
        <references count="2">
          <reference field="4294967294" count="3">
            <x v="0"/>
            <x v="1"/>
            <x v="2"/>
          </reference>
          <reference field="0" count="1" selected="0">
            <x v="0"/>
          </reference>
        </references>
      </pivotArea>
    </format>
    <format dxfId="159">
      <pivotArea collapsedLevelsAreSubtotals="1" fieldPosition="0">
        <references count="1">
          <reference field="0" count="1">
            <x v="1"/>
          </reference>
        </references>
      </pivotArea>
    </format>
    <format dxfId="158">
      <pivotArea collapsedLevelsAreSubtotals="1" fieldPosition="0">
        <references count="2">
          <reference field="4294967294" count="3">
            <x v="0"/>
            <x v="1"/>
            <x v="2"/>
          </reference>
          <reference field="0" count="1" selected="0">
            <x v="1"/>
          </reference>
        </references>
      </pivotArea>
    </format>
    <format dxfId="157">
      <pivotArea collapsedLevelsAreSubtotals="1" fieldPosition="0">
        <references count="1">
          <reference field="0" count="1">
            <x v="2"/>
          </reference>
        </references>
      </pivotArea>
    </format>
    <format dxfId="156">
      <pivotArea collapsedLevelsAreSubtotals="1" fieldPosition="0">
        <references count="2">
          <reference field="4294967294" count="3">
            <x v="0"/>
            <x v="1"/>
            <x v="2"/>
          </reference>
          <reference field="0" count="1" selected="0">
            <x v="2"/>
          </reference>
        </references>
      </pivotArea>
    </format>
    <format dxfId="155">
      <pivotArea collapsedLevelsAreSubtotals="1" fieldPosition="0">
        <references count="1">
          <reference field="0" count="1">
            <x v="3"/>
          </reference>
        </references>
      </pivotArea>
    </format>
    <format dxfId="154">
      <pivotArea collapsedLevelsAreSubtotals="1" fieldPosition="0">
        <references count="2">
          <reference field="4294967294" count="3">
            <x v="0"/>
            <x v="1"/>
            <x v="2"/>
          </reference>
          <reference field="0" count="1" selected="0">
            <x v="3"/>
          </reference>
        </references>
      </pivotArea>
    </format>
    <format dxfId="153">
      <pivotArea collapsedLevelsAreSubtotals="1" fieldPosition="0">
        <references count="1">
          <reference field="0" count="1">
            <x v="4"/>
          </reference>
        </references>
      </pivotArea>
    </format>
    <format dxfId="152">
      <pivotArea collapsedLevelsAreSubtotals="1" fieldPosition="0">
        <references count="2">
          <reference field="4294967294" count="3">
            <x v="0"/>
            <x v="1"/>
            <x v="2"/>
          </reference>
          <reference field="0" count="1" selected="0">
            <x v="4"/>
          </reference>
        </references>
      </pivotArea>
    </format>
    <format dxfId="151">
      <pivotArea collapsedLevelsAreSubtotals="1" fieldPosition="0">
        <references count="1">
          <reference field="0" count="1">
            <x v="5"/>
          </reference>
        </references>
      </pivotArea>
    </format>
    <format dxfId="150">
      <pivotArea collapsedLevelsAreSubtotals="1" fieldPosition="0">
        <references count="2">
          <reference field="4294967294" count="3">
            <x v="0"/>
            <x v="1"/>
            <x v="2"/>
          </reference>
          <reference field="0" count="1" selected="0">
            <x v="5"/>
          </reference>
        </references>
      </pivotArea>
    </format>
    <format dxfId="149">
      <pivotArea collapsedLevelsAreSubtotals="1" fieldPosition="0">
        <references count="1">
          <reference field="0" count="1">
            <x v="6"/>
          </reference>
        </references>
      </pivotArea>
    </format>
    <format dxfId="148">
      <pivotArea collapsedLevelsAreSubtotals="1" fieldPosition="0">
        <references count="2">
          <reference field="4294967294" count="3">
            <x v="0"/>
            <x v="1"/>
            <x v="2"/>
          </reference>
          <reference field="0" count="1" selected="0">
            <x v="6"/>
          </reference>
        </references>
      </pivotArea>
    </format>
    <format dxfId="147">
      <pivotArea collapsedLevelsAreSubtotals="1" fieldPosition="0">
        <references count="1">
          <reference field="0" count="1">
            <x v="7"/>
          </reference>
        </references>
      </pivotArea>
    </format>
    <format dxfId="146">
      <pivotArea collapsedLevelsAreSubtotals="1" fieldPosition="0">
        <references count="2">
          <reference field="4294967294" count="3">
            <x v="0"/>
            <x v="1"/>
            <x v="2"/>
          </reference>
          <reference field="0" count="1" selected="0">
            <x v="7"/>
          </reference>
        </references>
      </pivotArea>
    </format>
    <format dxfId="145">
      <pivotArea collapsedLevelsAreSubtotals="1" fieldPosition="0">
        <references count="1">
          <reference field="0" count="1">
            <x v="8"/>
          </reference>
        </references>
      </pivotArea>
    </format>
    <format dxfId="144">
      <pivotArea collapsedLevelsAreSubtotals="1" fieldPosition="0">
        <references count="2">
          <reference field="4294967294" count="3">
            <x v="0"/>
            <x v="1"/>
            <x v="2"/>
          </reference>
          <reference field="0" count="1" selected="0">
            <x v="8"/>
          </reference>
        </references>
      </pivotArea>
    </format>
    <format dxfId="143">
      <pivotArea collapsedLevelsAreSubtotals="1" fieldPosition="0">
        <references count="1">
          <reference field="0" count="1">
            <x v="9"/>
          </reference>
        </references>
      </pivotArea>
    </format>
    <format dxfId="142">
      <pivotArea collapsedLevelsAreSubtotals="1" fieldPosition="0">
        <references count="2">
          <reference field="4294967294" count="3">
            <x v="0"/>
            <x v="1"/>
            <x v="2"/>
          </reference>
          <reference field="0" count="1" selected="0">
            <x v="9"/>
          </reference>
        </references>
      </pivotArea>
    </format>
    <format dxfId="141">
      <pivotArea collapsedLevelsAreSubtotals="1" fieldPosition="0">
        <references count="1">
          <reference field="0" count="1">
            <x v="10"/>
          </reference>
        </references>
      </pivotArea>
    </format>
    <format dxfId="140">
      <pivotArea collapsedLevelsAreSubtotals="1" fieldPosition="0">
        <references count="2">
          <reference field="4294967294" count="3">
            <x v="0"/>
            <x v="1"/>
            <x v="2"/>
          </reference>
          <reference field="0" count="1" selected="0">
            <x v="10"/>
          </reference>
        </references>
      </pivotArea>
    </format>
    <format dxfId="139">
      <pivotArea collapsedLevelsAreSubtotals="1" fieldPosition="0">
        <references count="1">
          <reference field="0" count="1">
            <x v="11"/>
          </reference>
        </references>
      </pivotArea>
    </format>
    <format dxfId="138">
      <pivotArea collapsedLevelsAreSubtotals="1" fieldPosition="0">
        <references count="2">
          <reference field="4294967294" count="3">
            <x v="0"/>
            <x v="1"/>
            <x v="2"/>
          </reference>
          <reference field="0" count="1" selected="0">
            <x v="11"/>
          </reference>
        </references>
      </pivotArea>
    </format>
    <format dxfId="137">
      <pivotArea collapsedLevelsAreSubtotals="1" fieldPosition="0">
        <references count="1">
          <reference field="0" count="1">
            <x v="12"/>
          </reference>
        </references>
      </pivotArea>
    </format>
    <format dxfId="136">
      <pivotArea collapsedLevelsAreSubtotals="1" fieldPosition="0">
        <references count="2">
          <reference field="4294967294" count="3">
            <x v="0"/>
            <x v="1"/>
            <x v="2"/>
          </reference>
          <reference field="0" count="1" selected="0">
            <x v="12"/>
          </reference>
        </references>
      </pivotArea>
    </format>
    <format dxfId="135">
      <pivotArea collapsedLevelsAreSubtotals="1" fieldPosition="0">
        <references count="1">
          <reference field="0" count="1">
            <x v="13"/>
          </reference>
        </references>
      </pivotArea>
    </format>
    <format dxfId="134">
      <pivotArea collapsedLevelsAreSubtotals="1" fieldPosition="0">
        <references count="2">
          <reference field="4294967294" count="3">
            <x v="0"/>
            <x v="1"/>
            <x v="2"/>
          </reference>
          <reference field="0" count="1" selected="0">
            <x v="13"/>
          </reference>
        </references>
      </pivotArea>
    </format>
    <format dxfId="133">
      <pivotArea collapsedLevelsAreSubtotals="1" fieldPosition="0">
        <references count="1">
          <reference field="0" count="1">
            <x v="14"/>
          </reference>
        </references>
      </pivotArea>
    </format>
    <format dxfId="132">
      <pivotArea collapsedLevelsAreSubtotals="1" fieldPosition="0">
        <references count="2">
          <reference field="4294967294" count="3">
            <x v="0"/>
            <x v="1"/>
            <x v="2"/>
          </reference>
          <reference field="0" count="1" selected="0">
            <x v="14"/>
          </reference>
        </references>
      </pivotArea>
    </format>
    <format dxfId="131">
      <pivotArea collapsedLevelsAreSubtotals="1" fieldPosition="0">
        <references count="1">
          <reference field="0" count="1">
            <x v="15"/>
          </reference>
        </references>
      </pivotArea>
    </format>
    <format dxfId="130">
      <pivotArea collapsedLevelsAreSubtotals="1" fieldPosition="0">
        <references count="2">
          <reference field="4294967294" count="3">
            <x v="0"/>
            <x v="1"/>
            <x v="2"/>
          </reference>
          <reference field="0" count="1" selected="0">
            <x v="15"/>
          </reference>
        </references>
      </pivotArea>
    </format>
    <format dxfId="129">
      <pivotArea collapsedLevelsAreSubtotals="1" fieldPosition="0">
        <references count="1">
          <reference field="0" count="1">
            <x v="16"/>
          </reference>
        </references>
      </pivotArea>
    </format>
    <format dxfId="128">
      <pivotArea collapsedLevelsAreSubtotals="1" fieldPosition="0">
        <references count="2">
          <reference field="4294967294" count="3">
            <x v="0"/>
            <x v="1"/>
            <x v="2"/>
          </reference>
          <reference field="0" count="1" selected="0">
            <x v="16"/>
          </reference>
        </references>
      </pivotArea>
    </format>
    <format dxfId="127">
      <pivotArea collapsedLevelsAreSubtotals="1" fieldPosition="0">
        <references count="1">
          <reference field="0" count="1">
            <x v="17"/>
          </reference>
        </references>
      </pivotArea>
    </format>
    <format dxfId="126">
      <pivotArea collapsedLevelsAreSubtotals="1" fieldPosition="0">
        <references count="2">
          <reference field="4294967294" count="3">
            <x v="0"/>
            <x v="1"/>
            <x v="2"/>
          </reference>
          <reference field="0" count="1" selected="0">
            <x v="17"/>
          </reference>
        </references>
      </pivotArea>
    </format>
    <format dxfId="125">
      <pivotArea collapsedLevelsAreSubtotals="1" fieldPosition="0">
        <references count="1">
          <reference field="0" count="1">
            <x v="18"/>
          </reference>
        </references>
      </pivotArea>
    </format>
    <format dxfId="124">
      <pivotArea collapsedLevelsAreSubtotals="1" fieldPosition="0">
        <references count="2">
          <reference field="4294967294" count="3">
            <x v="0"/>
            <x v="1"/>
            <x v="2"/>
          </reference>
          <reference field="0" count="1" selected="0">
            <x v="18"/>
          </reference>
        </references>
      </pivotArea>
    </format>
    <format dxfId="123">
      <pivotArea collapsedLevelsAreSubtotals="1" fieldPosition="0">
        <references count="1">
          <reference field="0" count="1">
            <x v="19"/>
          </reference>
        </references>
      </pivotArea>
    </format>
    <format dxfId="122">
      <pivotArea collapsedLevelsAreSubtotals="1" fieldPosition="0">
        <references count="2">
          <reference field="4294967294" count="3">
            <x v="0"/>
            <x v="1"/>
            <x v="2"/>
          </reference>
          <reference field="0" count="1" selected="0">
            <x v="19"/>
          </reference>
        </references>
      </pivotArea>
    </format>
    <format dxfId="121">
      <pivotArea collapsedLevelsAreSubtotals="1" fieldPosition="0">
        <references count="1">
          <reference field="0" count="1">
            <x v="20"/>
          </reference>
        </references>
      </pivotArea>
    </format>
    <format dxfId="120">
      <pivotArea collapsedLevelsAreSubtotals="1" fieldPosition="0">
        <references count="2">
          <reference field="4294967294" count="3">
            <x v="0"/>
            <x v="1"/>
            <x v="2"/>
          </reference>
          <reference field="0" count="1" selected="0">
            <x v="20"/>
          </reference>
        </references>
      </pivotArea>
    </format>
    <format dxfId="119">
      <pivotArea collapsedLevelsAreSubtotals="1" fieldPosition="0">
        <references count="1">
          <reference field="0" count="1">
            <x v="21"/>
          </reference>
        </references>
      </pivotArea>
    </format>
    <format dxfId="118">
      <pivotArea collapsedLevelsAreSubtotals="1" fieldPosition="0">
        <references count="2">
          <reference field="4294967294" count="3">
            <x v="0"/>
            <x v="1"/>
            <x v="2"/>
          </reference>
          <reference field="0" count="1" selected="0">
            <x v="21"/>
          </reference>
        </references>
      </pivotArea>
    </format>
    <format dxfId="117">
      <pivotArea collapsedLevelsAreSubtotals="1" fieldPosition="0">
        <references count="1">
          <reference field="0" count="1">
            <x v="22"/>
          </reference>
        </references>
      </pivotArea>
    </format>
    <format dxfId="116">
      <pivotArea collapsedLevelsAreSubtotals="1" fieldPosition="0">
        <references count="2">
          <reference field="4294967294" count="3">
            <x v="0"/>
            <x v="1"/>
            <x v="2"/>
          </reference>
          <reference field="0" count="1" selected="0">
            <x v="22"/>
          </reference>
        </references>
      </pivotArea>
    </format>
    <format dxfId="115">
      <pivotArea collapsedLevelsAreSubtotals="1" fieldPosition="0">
        <references count="1">
          <reference field="0" count="1">
            <x v="23"/>
          </reference>
        </references>
      </pivotArea>
    </format>
    <format dxfId="114">
      <pivotArea collapsedLevelsAreSubtotals="1" fieldPosition="0">
        <references count="2">
          <reference field="4294967294" count="3">
            <x v="0"/>
            <x v="1"/>
            <x v="2"/>
          </reference>
          <reference field="0" count="1" selected="0">
            <x v="23"/>
          </reference>
        </references>
      </pivotArea>
    </format>
    <format dxfId="113">
      <pivotArea collapsedLevelsAreSubtotals="1" fieldPosition="0">
        <references count="1">
          <reference field="0" count="1">
            <x v="24"/>
          </reference>
        </references>
      </pivotArea>
    </format>
    <format dxfId="112">
      <pivotArea collapsedLevelsAreSubtotals="1" fieldPosition="0">
        <references count="2">
          <reference field="4294967294" count="3">
            <x v="0"/>
            <x v="1"/>
            <x v="2"/>
          </reference>
          <reference field="0" count="1" selected="0">
            <x v="24"/>
          </reference>
        </references>
      </pivotArea>
    </format>
    <format dxfId="111">
      <pivotArea collapsedLevelsAreSubtotals="1" fieldPosition="0">
        <references count="1">
          <reference field="0" count="1">
            <x v="25"/>
          </reference>
        </references>
      </pivotArea>
    </format>
    <format dxfId="110">
      <pivotArea collapsedLevelsAreSubtotals="1" fieldPosition="0">
        <references count="2">
          <reference field="4294967294" count="3">
            <x v="0"/>
            <x v="1"/>
            <x v="2"/>
          </reference>
          <reference field="0" count="1" selected="0">
            <x v="25"/>
          </reference>
        </references>
      </pivotArea>
    </format>
    <format dxfId="109">
      <pivotArea collapsedLevelsAreSubtotals="1" fieldPosition="0">
        <references count="1">
          <reference field="0" count="1">
            <x v="26"/>
          </reference>
        </references>
      </pivotArea>
    </format>
    <format dxfId="108">
      <pivotArea collapsedLevelsAreSubtotals="1" fieldPosition="0">
        <references count="2">
          <reference field="4294967294" count="3">
            <x v="0"/>
            <x v="1"/>
            <x v="2"/>
          </reference>
          <reference field="0" count="1" selected="0">
            <x v="26"/>
          </reference>
        </references>
      </pivotArea>
    </format>
    <format dxfId="107">
      <pivotArea collapsedLevelsAreSubtotals="1" fieldPosition="0">
        <references count="1">
          <reference field="0" count="1">
            <x v="27"/>
          </reference>
        </references>
      </pivotArea>
    </format>
    <format dxfId="106">
      <pivotArea collapsedLevelsAreSubtotals="1" fieldPosition="0">
        <references count="2">
          <reference field="4294967294" count="3">
            <x v="0"/>
            <x v="1"/>
            <x v="2"/>
          </reference>
          <reference field="0" count="1" selected="0">
            <x v="27"/>
          </reference>
        </references>
      </pivotArea>
    </format>
    <format dxfId="105">
      <pivotArea collapsedLevelsAreSubtotals="1" fieldPosition="0">
        <references count="1">
          <reference field="0" count="1">
            <x v="28"/>
          </reference>
        </references>
      </pivotArea>
    </format>
    <format dxfId="104">
      <pivotArea collapsedLevelsAreSubtotals="1" fieldPosition="0">
        <references count="2">
          <reference field="4294967294" count="3">
            <x v="0"/>
            <x v="1"/>
            <x v="2"/>
          </reference>
          <reference field="0" count="1" selected="0">
            <x v="28"/>
          </reference>
        </references>
      </pivotArea>
    </format>
    <format dxfId="103">
      <pivotArea collapsedLevelsAreSubtotals="1" fieldPosition="0">
        <references count="1">
          <reference field="0" count="1">
            <x v="29"/>
          </reference>
        </references>
      </pivotArea>
    </format>
    <format dxfId="102">
      <pivotArea collapsedLevelsAreSubtotals="1" fieldPosition="0">
        <references count="2">
          <reference field="4294967294" count="3">
            <x v="0"/>
            <x v="1"/>
            <x v="2"/>
          </reference>
          <reference field="0" count="1" selected="0">
            <x v="29"/>
          </reference>
        </references>
      </pivotArea>
    </format>
    <format dxfId="101">
      <pivotArea collapsedLevelsAreSubtotals="1" fieldPosition="0">
        <references count="1">
          <reference field="0" count="1">
            <x v="30"/>
          </reference>
        </references>
      </pivotArea>
    </format>
    <format dxfId="100">
      <pivotArea collapsedLevelsAreSubtotals="1" fieldPosition="0">
        <references count="2">
          <reference field="4294967294" count="3">
            <x v="0"/>
            <x v="1"/>
            <x v="2"/>
          </reference>
          <reference field="0" count="1" selected="0">
            <x v="30"/>
          </reference>
        </references>
      </pivotArea>
    </format>
    <format dxfId="99">
      <pivotArea collapsedLevelsAreSubtotals="1" fieldPosition="0">
        <references count="1">
          <reference field="0" count="1">
            <x v="31"/>
          </reference>
        </references>
      </pivotArea>
    </format>
    <format dxfId="98">
      <pivotArea collapsedLevelsAreSubtotals="1" fieldPosition="0">
        <references count="2">
          <reference field="4294967294" count="3">
            <x v="0"/>
            <x v="1"/>
            <x v="2"/>
          </reference>
          <reference field="0" count="1" selected="0">
            <x v="31"/>
          </reference>
        </references>
      </pivotArea>
    </format>
    <format dxfId="97">
      <pivotArea collapsedLevelsAreSubtotals="1" fieldPosition="0">
        <references count="1">
          <reference field="0" count="1">
            <x v="32"/>
          </reference>
        </references>
      </pivotArea>
    </format>
    <format dxfId="96">
      <pivotArea collapsedLevelsAreSubtotals="1" fieldPosition="0">
        <references count="2">
          <reference field="4294967294" count="3">
            <x v="0"/>
            <x v="1"/>
            <x v="2"/>
          </reference>
          <reference field="0" count="1" selected="0">
            <x v="32"/>
          </reference>
        </references>
      </pivotArea>
    </format>
    <format dxfId="95">
      <pivotArea collapsedLevelsAreSubtotals="1" fieldPosition="0">
        <references count="1">
          <reference field="0" count="1">
            <x v="33"/>
          </reference>
        </references>
      </pivotArea>
    </format>
    <format dxfId="94">
      <pivotArea collapsedLevelsAreSubtotals="1" fieldPosition="0">
        <references count="2">
          <reference field="4294967294" count="3">
            <x v="0"/>
            <x v="1"/>
            <x v="2"/>
          </reference>
          <reference field="0" count="1" selected="0">
            <x v="33"/>
          </reference>
        </references>
      </pivotArea>
    </format>
    <format dxfId="93">
      <pivotArea collapsedLevelsAreSubtotals="1" fieldPosition="0">
        <references count="1">
          <reference field="0" count="1">
            <x v="34"/>
          </reference>
        </references>
      </pivotArea>
    </format>
    <format dxfId="92">
      <pivotArea collapsedLevelsAreSubtotals="1" fieldPosition="0">
        <references count="2">
          <reference field="4294967294" count="3">
            <x v="0"/>
            <x v="1"/>
            <x v="2"/>
          </reference>
          <reference field="0" count="1" selected="0">
            <x v="34"/>
          </reference>
        </references>
      </pivotArea>
    </format>
    <format dxfId="91">
      <pivotArea collapsedLevelsAreSubtotals="1" fieldPosition="0">
        <references count="1">
          <reference field="0" count="1">
            <x v="35"/>
          </reference>
        </references>
      </pivotArea>
    </format>
    <format dxfId="90">
      <pivotArea collapsedLevelsAreSubtotals="1" fieldPosition="0">
        <references count="2">
          <reference field="4294967294" count="3">
            <x v="0"/>
            <x v="1"/>
            <x v="2"/>
          </reference>
          <reference field="0" count="1" selected="0">
            <x v="35"/>
          </reference>
        </references>
      </pivotArea>
    </format>
    <format dxfId="89">
      <pivotArea collapsedLevelsAreSubtotals="1" fieldPosition="0">
        <references count="1">
          <reference field="0" count="1">
            <x v="36"/>
          </reference>
        </references>
      </pivotArea>
    </format>
    <format dxfId="88">
      <pivotArea collapsedLevelsAreSubtotals="1" fieldPosition="0">
        <references count="2">
          <reference field="4294967294" count="3">
            <x v="0"/>
            <x v="1"/>
            <x v="2"/>
          </reference>
          <reference field="0" count="1" selected="0">
            <x v="36"/>
          </reference>
        </references>
      </pivotArea>
    </format>
    <format dxfId="87">
      <pivotArea collapsedLevelsAreSubtotals="1" fieldPosition="0">
        <references count="1">
          <reference field="0" count="1">
            <x v="37"/>
          </reference>
        </references>
      </pivotArea>
    </format>
    <format dxfId="86">
      <pivotArea collapsedLevelsAreSubtotals="1" fieldPosition="0">
        <references count="2">
          <reference field="4294967294" count="3">
            <x v="0"/>
            <x v="1"/>
            <x v="2"/>
          </reference>
          <reference field="0" count="1" selected="0">
            <x v="37"/>
          </reference>
        </references>
      </pivotArea>
    </format>
    <format dxfId="85">
      <pivotArea collapsedLevelsAreSubtotals="1" fieldPosition="0">
        <references count="1">
          <reference field="0" count="1">
            <x v="38"/>
          </reference>
        </references>
      </pivotArea>
    </format>
    <format dxfId="84">
      <pivotArea collapsedLevelsAreSubtotals="1" fieldPosition="0">
        <references count="2">
          <reference field="4294967294" count="2">
            <x v="0"/>
            <x v="1"/>
          </reference>
          <reference field="0" count="1" selected="0">
            <x v="38"/>
          </reference>
        </references>
      </pivotArea>
    </format>
    <format dxfId="83">
      <pivotArea dataOnly="0" labelOnly="1" grandCol="1" outline="0" fieldPosition="0"/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ês" xr10:uid="{FD886563-67B1-458F-A6F7-D6DBEF847677}" sourceName="Mês">
  <pivotTables>
    <pivotTable tabId="2" name="Tabela dinâmica2"/>
  </pivotTables>
  <data>
    <tabular pivotCacheId="2078106900">
      <items count="12">
        <i x="0" s="1"/>
        <i x="1"/>
        <i x="2"/>
        <i x="3"/>
        <i x="4"/>
        <i x="5"/>
        <i x="6"/>
        <i x="7"/>
        <i x="8"/>
        <i x="9"/>
        <i x="10"/>
        <i x="1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roponente" xr10:uid="{0E6B761F-2A53-4DCB-8936-A488E436AC30}" sourceName="Proponente">
  <pivotTables>
    <pivotTable tabId="6" name="InfoProponente"/>
  </pivotTables>
  <data>
    <tabular pivotCacheId="1391112432">
      <items count="46">
        <i x="2"/>
        <i x="3"/>
        <i x="4"/>
        <i x="5"/>
        <i x="6"/>
        <i x="7"/>
        <i x="8" s="1"/>
        <i x="9"/>
        <i x="10"/>
        <i x="11"/>
        <i x="12"/>
        <i x="13"/>
        <i x="14"/>
        <i x="15"/>
        <i x="16"/>
        <i x="17"/>
        <i x="18"/>
        <i x="19"/>
        <i x="20"/>
        <i x="21"/>
        <i x="22"/>
        <i x="23"/>
        <i x="24"/>
        <i x="25"/>
        <i x="26"/>
        <i x="27"/>
        <i x="28"/>
        <i x="29"/>
        <i x="39"/>
        <i x="31"/>
        <i x="32"/>
        <i x="30"/>
        <i x="33"/>
        <i x="34"/>
        <i x="0"/>
        <i x="35"/>
        <i x="36"/>
        <i x="37"/>
        <i x="38"/>
        <i x="1"/>
        <i x="40" nd="1"/>
        <i x="45" nd="1"/>
        <i x="41" nd="1"/>
        <i x="43" nd="1"/>
        <i x="42" nd="1"/>
        <i x="44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roponente1" xr10:uid="{FF056A94-5CDB-4AAF-8BD6-A1E3E0EA4E49}" sourceName="Proponente">
  <pivotTables>
    <pivotTable tabId="6" name="Tabela dinâmica1"/>
  </pivotTables>
  <data>
    <tabular pivotCacheId="458346496">
      <items count="46">
        <i x="2" s="1"/>
        <i x="3"/>
        <i x="4"/>
        <i x="5"/>
        <i x="6"/>
        <i x="7"/>
        <i x="8"/>
        <i x="9"/>
        <i x="10"/>
        <i x="11"/>
        <i x="12"/>
        <i x="13"/>
        <i x="14"/>
        <i x="15"/>
        <i x="16"/>
        <i x="17"/>
        <i x="18"/>
        <i x="19"/>
        <i x="20"/>
        <i x="21"/>
        <i x="22"/>
        <i x="23"/>
        <i x="24"/>
        <i x="25"/>
        <i x="26"/>
        <i x="27"/>
        <i x="28"/>
        <i x="29"/>
        <i x="39"/>
        <i x="31"/>
        <i x="32"/>
        <i x="30"/>
        <i x="33"/>
        <i x="34"/>
        <i x="0"/>
        <i x="35"/>
        <i x="36"/>
        <i x="37"/>
        <i x="38"/>
        <i x="40" nd="1"/>
        <i x="45" nd="1"/>
        <i x="41" nd="1"/>
        <i x="43" nd="1"/>
        <i x="42" nd="1"/>
        <i x="44" nd="1"/>
        <i x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roponente" xr10:uid="{A474D817-F116-4B69-88E6-AEE7C57AB563}" cache="SegmentaçãodeDados_Proponente" caption="Proponente" rowHeight="241300"/>
  <slicer name="Proponente 1" xr10:uid="{9EE7D7DA-CC5C-4C87-ADBE-1E3601AAD629}" cache="SegmentaçãodeDados_Proponente1" caption="Proponente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ês" xr10:uid="{307A0FDE-28E4-44CF-9C68-B6C991F6530F}" cache="SegmentaçãodeDados_Mês" caption="Mês" rowHeight="241300"/>
</slicer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14" dT="2022-02-15T20:42:56.48" personId="{55CD8E56-6451-4DE5-B443-60BFB367C817}" id="{B4FA0FB2-53E9-495D-88A7-1A0F76C5D20E}">
    <text>Falta descontar valor da fatura de Dezembro/2021</text>
  </threadedComment>
  <threadedComment ref="G15" dT="2022-02-15T20:43:02.79" personId="{55CD8E56-6451-4DE5-B443-60BFB367C817}" id="{C516DD45-054C-4642-BD73-88636CE07E91}">
    <text>Falta descontar valor da fatura de Dezembro/2021</text>
  </threadedComment>
  <threadedComment ref="G16" dT="2022-02-15T20:44:11.38" personId="{55CD8E56-6451-4DE5-B443-60BFB367C817}" id="{463DFE25-8240-4182-B34F-EB268AE4002A}">
    <text>Entrou em RAP. Falta verificar se há fatura para o mês de dezembro/2021.</text>
  </threadedComment>
  <threadedComment ref="G17" dT="2022-02-15T20:44:26.12" personId="{55CD8E56-6451-4DE5-B443-60BFB367C817}" id="{24F38ABF-3E01-4265-8AC5-762E00517795}">
    <text>Entrou em RAP. Falta verificar se há fatura para o mês de dezembro/2021.</text>
  </threadedComment>
  <threadedComment ref="G18" dT="2022-02-15T20:45:35.91" personId="{55CD8E56-6451-4DE5-B443-60BFB367C817}" id="{E5081BF6-58A1-414F-AC94-FF1B1DEAF9D2}">
    <text>Entrou em RAP.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.xml"/><Relationship Id="rId7" Type="http://schemas.microsoft.com/office/2007/relationships/slicer" Target="../slicers/slicer1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2.bin"/><Relationship Id="rId4" Type="http://schemas.openxmlformats.org/officeDocument/2006/relationships/pivotTable" Target="../pivotTables/pivotTable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6.xml"/><Relationship Id="rId4" Type="http://schemas.microsoft.com/office/2007/relationships/slicer" Target="../slicers/slicer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15C3C5-4D3F-4486-B137-D70F7776D947}">
  <sheetPr codeName="Plan2"/>
  <dimension ref="A1:AP395"/>
  <sheetViews>
    <sheetView tabSelected="1" workbookViewId="0">
      <pane ySplit="13" topLeftCell="A14" activePane="bottomLeft" state="frozen"/>
      <selection pane="bottomLeft" activeCell="G29" sqref="G29"/>
    </sheetView>
  </sheetViews>
  <sheetFormatPr defaultColWidth="9.140625" defaultRowHeight="15" x14ac:dyDescent="0.25"/>
  <cols>
    <col min="1" max="1" width="9.28515625" style="53" customWidth="1"/>
    <col min="2" max="2" width="0.5703125" style="53" customWidth="1"/>
    <col min="3" max="3" width="23.42578125" style="5" customWidth="1"/>
    <col min="4" max="4" width="25.85546875" style="5" customWidth="1"/>
    <col min="5" max="5" width="18" style="5" customWidth="1"/>
    <col min="6" max="6" width="18.7109375" style="5" customWidth="1"/>
    <col min="7" max="7" width="21.7109375" style="5" customWidth="1"/>
    <col min="8" max="8" width="23.28515625" style="5" customWidth="1"/>
    <col min="9" max="9" width="19.28515625" style="5" customWidth="1"/>
    <col min="10" max="10" width="17.140625" style="5" customWidth="1"/>
    <col min="11" max="11" width="19.5703125" style="5" customWidth="1"/>
    <col min="12" max="12" width="15.7109375" style="5" customWidth="1"/>
    <col min="13" max="24" width="15" style="5" customWidth="1"/>
    <col min="25" max="25" width="12.5703125" style="107" customWidth="1"/>
    <col min="26" max="26" width="9.140625" style="108"/>
    <col min="27" max="27" width="12" style="107" customWidth="1"/>
    <col min="28" max="28" width="11.28515625" style="107" customWidth="1"/>
    <col min="29" max="38" width="9.140625" style="107"/>
    <col min="39" max="16384" width="9.140625" style="53"/>
  </cols>
  <sheetData>
    <row r="1" spans="3:38" ht="8.1" customHeight="1" x14ac:dyDescent="0.25"/>
    <row r="2" spans="3:38" ht="18.75" x14ac:dyDescent="0.3">
      <c r="C2" s="158" t="s">
        <v>231</v>
      </c>
      <c r="D2" s="158"/>
      <c r="E2" s="158"/>
      <c r="F2" s="158"/>
    </row>
    <row r="3" spans="3:38" ht="8.4499999999999993" customHeight="1" x14ac:dyDescent="0.25"/>
    <row r="4" spans="3:38" x14ac:dyDescent="0.25">
      <c r="D4" s="96" t="s">
        <v>232</v>
      </c>
      <c r="L4" s="56"/>
      <c r="M4" s="56"/>
      <c r="N4" s="56"/>
      <c r="O4" s="56"/>
      <c r="P4" s="56"/>
      <c r="Q4" s="56"/>
      <c r="R4" s="56"/>
      <c r="S4" s="56"/>
      <c r="T4" s="56"/>
    </row>
    <row r="5" spans="3:38" x14ac:dyDescent="0.25">
      <c r="C5" s="12" t="s">
        <v>233</v>
      </c>
      <c r="D5" s="5" t="s">
        <v>234</v>
      </c>
      <c r="E5" s="5" t="s">
        <v>235</v>
      </c>
      <c r="F5" s="5" t="s">
        <v>21</v>
      </c>
      <c r="I5" s="160" t="s">
        <v>273</v>
      </c>
      <c r="J5" s="160"/>
      <c r="L5" s="56"/>
      <c r="M5" s="56"/>
      <c r="N5" s="56"/>
      <c r="O5" s="56"/>
      <c r="P5" s="56"/>
      <c r="Q5" s="56"/>
      <c r="R5" s="56"/>
      <c r="S5" s="56"/>
      <c r="T5" s="56"/>
    </row>
    <row r="6" spans="3:38" x14ac:dyDescent="0.25">
      <c r="C6" s="5" t="s">
        <v>236</v>
      </c>
      <c r="D6" s="56">
        <v>0</v>
      </c>
      <c r="E6" s="56">
        <v>0</v>
      </c>
      <c r="F6" s="56">
        <v>0</v>
      </c>
      <c r="I6" s="115" t="s">
        <v>274</v>
      </c>
      <c r="J6" s="118">
        <v>85</v>
      </c>
      <c r="L6" s="56"/>
      <c r="M6" s="56"/>
      <c r="N6" s="56"/>
      <c r="O6" s="56"/>
      <c r="P6" s="56"/>
      <c r="Q6" s="56"/>
      <c r="R6" s="56"/>
      <c r="S6" s="56"/>
      <c r="T6" s="56"/>
    </row>
    <row r="7" spans="3:38" x14ac:dyDescent="0.25">
      <c r="C7" s="5" t="s">
        <v>237</v>
      </c>
      <c r="D7" s="56">
        <v>0</v>
      </c>
      <c r="E7" s="56">
        <v>0</v>
      </c>
      <c r="F7" s="56">
        <v>0</v>
      </c>
      <c r="I7" s="116" t="s">
        <v>275</v>
      </c>
      <c r="J7" s="119">
        <v>70</v>
      </c>
    </row>
    <row r="8" spans="3:38" x14ac:dyDescent="0.25">
      <c r="C8" s="5" t="s">
        <v>209</v>
      </c>
      <c r="D8" s="56">
        <v>0</v>
      </c>
      <c r="E8" s="56">
        <v>0</v>
      </c>
      <c r="F8" s="56">
        <v>0</v>
      </c>
      <c r="I8" s="117" t="s">
        <v>276</v>
      </c>
      <c r="J8" s="120">
        <v>0</v>
      </c>
    </row>
    <row r="9" spans="3:38" x14ac:dyDescent="0.25">
      <c r="C9" s="5" t="s">
        <v>238</v>
      </c>
      <c r="D9" s="56">
        <v>74324.41</v>
      </c>
      <c r="E9" s="56">
        <v>0</v>
      </c>
      <c r="F9" s="56">
        <v>74324.41</v>
      </c>
      <c r="K9" s="56"/>
      <c r="L9" s="56"/>
      <c r="M9" s="56"/>
      <c r="N9" s="56"/>
      <c r="O9" s="56"/>
      <c r="P9" s="56"/>
      <c r="Q9" s="56"/>
      <c r="R9" s="56"/>
      <c r="S9" s="56"/>
      <c r="T9" s="56"/>
      <c r="U9" s="56"/>
      <c r="V9" s="56"/>
      <c r="W9" s="56"/>
      <c r="X9" s="56"/>
    </row>
    <row r="10" spans="3:38" x14ac:dyDescent="0.25">
      <c r="C10" s="114" t="s">
        <v>1</v>
      </c>
      <c r="D10" s="56">
        <v>100679121.84999999</v>
      </c>
      <c r="E10" s="56">
        <v>0</v>
      </c>
      <c r="F10" s="56">
        <v>101381136.22404449</v>
      </c>
      <c r="K10" s="56"/>
      <c r="X10" s="56"/>
    </row>
    <row r="11" spans="3:38" x14ac:dyDescent="0.25">
      <c r="C11" s="5" t="s">
        <v>220</v>
      </c>
      <c r="D11" s="56">
        <v>100753446.25999999</v>
      </c>
      <c r="E11" s="56">
        <v>0</v>
      </c>
      <c r="F11" s="56">
        <v>101455460.63404448</v>
      </c>
      <c r="G11" s="56"/>
      <c r="H11" s="56"/>
      <c r="J11" s="56"/>
      <c r="K11" s="56"/>
      <c r="L11" s="159" t="s">
        <v>239</v>
      </c>
      <c r="M11" s="159"/>
      <c r="N11" s="159"/>
      <c r="O11" s="159"/>
      <c r="P11" s="159"/>
      <c r="Q11" s="159"/>
      <c r="R11" s="159"/>
      <c r="S11" s="159"/>
      <c r="T11" s="159"/>
      <c r="U11" s="159"/>
      <c r="V11" s="159"/>
      <c r="W11" s="159"/>
      <c r="X11" s="56"/>
    </row>
    <row r="12" spans="3:38" x14ac:dyDescent="0.25">
      <c r="C12"/>
      <c r="D12"/>
      <c r="E12"/>
      <c r="F12"/>
      <c r="G12" s="56"/>
      <c r="H12" s="56"/>
      <c r="I12" s="56"/>
      <c r="J12" s="56"/>
      <c r="K12" s="56"/>
      <c r="X12" s="56"/>
    </row>
    <row r="13" spans="3:38" x14ac:dyDescent="0.25">
      <c r="C13" s="57" t="s">
        <v>240</v>
      </c>
      <c r="D13" s="57" t="s">
        <v>0</v>
      </c>
      <c r="E13" s="57" t="s">
        <v>241</v>
      </c>
      <c r="F13" s="136" t="s">
        <v>293</v>
      </c>
      <c r="G13" s="57" t="s">
        <v>242</v>
      </c>
      <c r="H13" s="57" t="s">
        <v>243</v>
      </c>
      <c r="I13" s="57" t="s">
        <v>244</v>
      </c>
      <c r="J13" s="57" t="s">
        <v>266</v>
      </c>
      <c r="K13" s="57" t="s">
        <v>270</v>
      </c>
      <c r="L13" s="57" t="s">
        <v>5</v>
      </c>
      <c r="M13" s="57" t="s">
        <v>6</v>
      </c>
      <c r="N13" s="57" t="s">
        <v>7</v>
      </c>
      <c r="O13" s="57" t="s">
        <v>8</v>
      </c>
      <c r="P13" s="57" t="s">
        <v>9</v>
      </c>
      <c r="Q13" s="57" t="s">
        <v>10</v>
      </c>
      <c r="R13" s="57" t="s">
        <v>11</v>
      </c>
      <c r="S13" s="57" t="s">
        <v>12</v>
      </c>
      <c r="T13" s="57" t="s">
        <v>13</v>
      </c>
      <c r="U13" s="57" t="s">
        <v>14</v>
      </c>
      <c r="V13" s="57" t="s">
        <v>15</v>
      </c>
      <c r="W13" s="57" t="s">
        <v>16</v>
      </c>
      <c r="X13" s="57" t="s">
        <v>245</v>
      </c>
    </row>
    <row r="14" spans="3:38" s="89" customFormat="1" x14ac:dyDescent="0.25">
      <c r="C14" s="90" t="s">
        <v>301</v>
      </c>
      <c r="D14" s="91" t="s">
        <v>126</v>
      </c>
      <c r="E14" s="90" t="s">
        <v>153</v>
      </c>
      <c r="F14" s="90" t="s">
        <v>302</v>
      </c>
      <c r="G14" s="146">
        <v>74324.41</v>
      </c>
      <c r="H14" s="90">
        <f t="shared" ref="H14:H45" si="0">SUM(L14:W14)</f>
        <v>0</v>
      </c>
      <c r="I14" s="90">
        <f t="shared" ref="I14:I77" si="1">G14-H14</f>
        <v>74324.41</v>
      </c>
      <c r="J14" s="135">
        <f>IF(G14="","",(H14/G14))</f>
        <v>0</v>
      </c>
      <c r="K14" s="109" t="str">
        <f>IF(L14="","",I14/Z14)</f>
        <v/>
      </c>
      <c r="L14" s="90"/>
      <c r="M14" s="90"/>
      <c r="N14" s="90"/>
      <c r="O14" s="90"/>
      <c r="P14" s="90"/>
      <c r="Q14" s="90"/>
      <c r="R14" s="90"/>
      <c r="S14" s="90"/>
      <c r="T14" s="90"/>
      <c r="U14" s="90"/>
      <c r="V14" s="90"/>
      <c r="W14" s="90"/>
      <c r="X14" s="90" t="s">
        <v>238</v>
      </c>
      <c r="Y14" s="110"/>
      <c r="Z14" s="111" cm="1">
        <f t="array" ref="Z14:AK14">INDEX(L14:W14,COUNT(L14:W14))</f>
        <v>0</v>
      </c>
      <c r="AA14" s="110">
        <v>0</v>
      </c>
      <c r="AB14" s="110">
        <v>0</v>
      </c>
      <c r="AC14" s="110">
        <v>0</v>
      </c>
      <c r="AD14" s="110">
        <v>0</v>
      </c>
      <c r="AE14" s="110">
        <v>0</v>
      </c>
      <c r="AF14" s="110">
        <v>0</v>
      </c>
      <c r="AG14" s="110">
        <v>0</v>
      </c>
      <c r="AH14" s="110">
        <v>0</v>
      </c>
      <c r="AI14" s="110">
        <v>0</v>
      </c>
      <c r="AJ14" s="110">
        <v>0</v>
      </c>
      <c r="AK14" s="110">
        <v>0</v>
      </c>
      <c r="AL14" s="110"/>
    </row>
    <row r="15" spans="3:38" s="89" customFormat="1" x14ac:dyDescent="0.25">
      <c r="C15" s="90" t="s">
        <v>320</v>
      </c>
      <c r="D15" s="91" t="s">
        <v>303</v>
      </c>
      <c r="E15" s="90" t="s">
        <v>153</v>
      </c>
      <c r="F15" s="90" t="s">
        <v>304</v>
      </c>
      <c r="G15" s="146">
        <v>121.08</v>
      </c>
      <c r="H15" s="90">
        <f t="shared" si="0"/>
        <v>0</v>
      </c>
      <c r="I15" s="90">
        <f>G15-H15</f>
        <v>121.08</v>
      </c>
      <c r="J15" s="135">
        <f>IF(G15="","",(H15/G15))</f>
        <v>0</v>
      </c>
      <c r="K15" s="109" t="str">
        <f>IF(L15="","",I15/Z15)</f>
        <v/>
      </c>
      <c r="L15" s="90"/>
      <c r="M15" s="90"/>
      <c r="N15" s="90"/>
      <c r="O15" s="90"/>
      <c r="P15" s="90"/>
      <c r="Q15" s="90"/>
      <c r="R15" s="90"/>
      <c r="S15" s="90"/>
      <c r="T15" s="90"/>
      <c r="U15" s="90"/>
      <c r="V15" s="90"/>
      <c r="W15" s="90"/>
      <c r="X15" s="90" t="s">
        <v>238</v>
      </c>
      <c r="Y15" s="110"/>
      <c r="Z15" s="111" cm="1">
        <f t="array" ref="Z15:AK15">INDEX(L15:W15,COUNT(L15:W15))</f>
        <v>0</v>
      </c>
      <c r="AA15" s="110">
        <v>0</v>
      </c>
      <c r="AB15" s="110">
        <v>0</v>
      </c>
      <c r="AC15" s="110">
        <v>0</v>
      </c>
      <c r="AD15" s="110">
        <v>0</v>
      </c>
      <c r="AE15" s="110">
        <v>0</v>
      </c>
      <c r="AF15" s="110">
        <v>0</v>
      </c>
      <c r="AG15" s="110">
        <v>0</v>
      </c>
      <c r="AH15" s="110">
        <v>0</v>
      </c>
      <c r="AI15" s="110">
        <v>0</v>
      </c>
      <c r="AJ15" s="110">
        <v>0</v>
      </c>
      <c r="AK15" s="110">
        <v>0</v>
      </c>
      <c r="AL15" s="110"/>
    </row>
    <row r="16" spans="3:38" s="89" customFormat="1" x14ac:dyDescent="0.25">
      <c r="C16" s="90" t="s">
        <v>305</v>
      </c>
      <c r="D16" s="91" t="s">
        <v>306</v>
      </c>
      <c r="E16" s="90" t="s">
        <v>153</v>
      </c>
      <c r="F16" s="90" t="s">
        <v>307</v>
      </c>
      <c r="G16" s="90">
        <v>241500</v>
      </c>
      <c r="H16" s="90">
        <f t="shared" si="0"/>
        <v>0</v>
      </c>
      <c r="I16" s="90">
        <f t="shared" si="1"/>
        <v>241500</v>
      </c>
      <c r="J16" s="135">
        <f t="shared" ref="J16:J79" si="2">IF(G16="","",(H16/G16))</f>
        <v>0</v>
      </c>
      <c r="K16" s="97"/>
      <c r="L16" s="90"/>
      <c r="M16" s="90"/>
      <c r="N16" s="90"/>
      <c r="O16" s="90"/>
      <c r="P16" s="90"/>
      <c r="Q16" s="90"/>
      <c r="R16" s="90"/>
      <c r="S16" s="90"/>
      <c r="T16" s="90"/>
      <c r="U16" s="90"/>
      <c r="V16" s="90"/>
      <c r="W16" s="90"/>
      <c r="X16" s="90"/>
    </row>
    <row r="17" spans="3:38" s="89" customFormat="1" x14ac:dyDescent="0.25">
      <c r="C17" s="90" t="s">
        <v>305</v>
      </c>
      <c r="D17" s="91" t="s">
        <v>306</v>
      </c>
      <c r="E17" s="90" t="s">
        <v>216</v>
      </c>
      <c r="F17" s="90" t="s">
        <v>308</v>
      </c>
      <c r="G17" s="90">
        <v>108500</v>
      </c>
      <c r="H17" s="90">
        <f t="shared" si="0"/>
        <v>0</v>
      </c>
      <c r="I17" s="90">
        <f t="shared" si="1"/>
        <v>108500</v>
      </c>
      <c r="J17" s="135">
        <f t="shared" si="2"/>
        <v>0</v>
      </c>
      <c r="K17" s="97"/>
      <c r="L17" s="90"/>
      <c r="M17" s="90"/>
      <c r="N17" s="90"/>
      <c r="O17" s="90"/>
      <c r="P17" s="90"/>
      <c r="Q17" s="90"/>
      <c r="R17" s="90"/>
      <c r="S17" s="90"/>
      <c r="T17" s="90"/>
      <c r="U17" s="90"/>
      <c r="V17" s="90"/>
      <c r="W17" s="90"/>
      <c r="X17" s="90"/>
    </row>
    <row r="18" spans="3:38" s="89" customFormat="1" x14ac:dyDescent="0.25">
      <c r="C18" s="90" t="s">
        <v>309</v>
      </c>
      <c r="D18" s="91" t="s">
        <v>54</v>
      </c>
      <c r="E18" s="90" t="s">
        <v>153</v>
      </c>
      <c r="F18" s="90" t="s">
        <v>310</v>
      </c>
      <c r="G18" s="90">
        <v>360000</v>
      </c>
      <c r="H18" s="90">
        <f t="shared" si="0"/>
        <v>0</v>
      </c>
      <c r="I18" s="90">
        <f t="shared" si="1"/>
        <v>360000</v>
      </c>
      <c r="J18" s="135">
        <f t="shared" si="2"/>
        <v>0</v>
      </c>
      <c r="K18" s="109" t="str">
        <f>IF(L18="","",I18/Z18)</f>
        <v/>
      </c>
      <c r="L18" s="90"/>
      <c r="M18" s="90"/>
      <c r="N18" s="90"/>
      <c r="O18" s="90"/>
      <c r="P18" s="90"/>
      <c r="Q18" s="90"/>
      <c r="R18" s="90"/>
      <c r="S18" s="90"/>
      <c r="T18" s="90"/>
      <c r="U18" s="90"/>
      <c r="V18" s="90"/>
      <c r="W18" s="90"/>
      <c r="X18" s="90"/>
      <c r="Y18" s="110"/>
      <c r="Z18" s="111" cm="1">
        <f t="array" ref="Z18:AK18">INDEX(L18:W18,COUNT(L18:W18))</f>
        <v>0</v>
      </c>
      <c r="AA18" s="110">
        <v>0</v>
      </c>
      <c r="AB18" s="110">
        <v>0</v>
      </c>
      <c r="AC18" s="110">
        <v>0</v>
      </c>
      <c r="AD18" s="110">
        <v>0</v>
      </c>
      <c r="AE18" s="110">
        <v>0</v>
      </c>
      <c r="AF18" s="110">
        <v>0</v>
      </c>
      <c r="AG18" s="110">
        <v>0</v>
      </c>
      <c r="AH18" s="110">
        <v>0</v>
      </c>
      <c r="AI18" s="110">
        <v>0</v>
      </c>
      <c r="AJ18" s="110">
        <v>0</v>
      </c>
      <c r="AK18" s="110">
        <v>0</v>
      </c>
      <c r="AL18" s="110"/>
    </row>
    <row r="19" spans="3:38" s="89" customFormat="1" x14ac:dyDescent="0.25">
      <c r="C19" s="90" t="s">
        <v>320</v>
      </c>
      <c r="D19" s="91" t="s">
        <v>72</v>
      </c>
      <c r="E19" s="90" t="s">
        <v>153</v>
      </c>
      <c r="F19" s="90" t="s">
        <v>321</v>
      </c>
      <c r="G19" s="90">
        <v>4900</v>
      </c>
      <c r="H19" s="90">
        <f t="shared" si="0"/>
        <v>0</v>
      </c>
      <c r="I19" s="90">
        <f t="shared" si="1"/>
        <v>4900</v>
      </c>
      <c r="J19" s="135">
        <f t="shared" si="2"/>
        <v>0</v>
      </c>
      <c r="K19" s="97"/>
      <c r="L19" s="90"/>
      <c r="M19" s="90"/>
      <c r="N19" s="90"/>
      <c r="O19" s="90"/>
      <c r="P19" s="90"/>
      <c r="Q19" s="90"/>
      <c r="R19" s="90"/>
      <c r="S19" s="90"/>
      <c r="T19" s="90"/>
      <c r="U19" s="90"/>
      <c r="V19" s="90"/>
      <c r="W19" s="90"/>
      <c r="X19" s="90"/>
    </row>
    <row r="20" spans="3:38" s="89" customFormat="1" x14ac:dyDescent="0.25">
      <c r="C20" s="90" t="s">
        <v>320</v>
      </c>
      <c r="D20" s="91" t="s">
        <v>318</v>
      </c>
      <c r="E20" s="90" t="s">
        <v>153</v>
      </c>
      <c r="F20" s="90" t="s">
        <v>322</v>
      </c>
      <c r="G20" s="90">
        <v>1500</v>
      </c>
      <c r="H20" s="90">
        <f t="shared" si="0"/>
        <v>0</v>
      </c>
      <c r="I20" s="90">
        <f t="shared" si="1"/>
        <v>1500</v>
      </c>
      <c r="J20" s="135">
        <f t="shared" si="2"/>
        <v>0</v>
      </c>
      <c r="K20" s="109" t="str">
        <f>IF(L20="","",I20/Z20)</f>
        <v/>
      </c>
      <c r="L20" s="90"/>
      <c r="M20" s="90"/>
      <c r="N20" s="90"/>
      <c r="O20" s="90"/>
      <c r="P20" s="90"/>
      <c r="Q20" s="90"/>
      <c r="R20" s="90"/>
      <c r="S20" s="90"/>
      <c r="T20" s="90"/>
      <c r="U20" s="90"/>
      <c r="V20" s="90"/>
      <c r="W20" s="90"/>
      <c r="X20" s="90"/>
      <c r="Y20" s="110"/>
      <c r="Z20" s="111" cm="1">
        <f t="array" ref="Z20:AK20">INDEX(L20:W20,COUNT(L20:W20))</f>
        <v>0</v>
      </c>
      <c r="AA20" s="110">
        <v>0</v>
      </c>
      <c r="AB20" s="110">
        <v>0</v>
      </c>
      <c r="AC20" s="110">
        <v>0</v>
      </c>
      <c r="AD20" s="110">
        <v>0</v>
      </c>
      <c r="AE20" s="110">
        <v>0</v>
      </c>
      <c r="AF20" s="110">
        <v>0</v>
      </c>
      <c r="AG20" s="110">
        <v>0</v>
      </c>
      <c r="AH20" s="110">
        <v>0</v>
      </c>
      <c r="AI20" s="110">
        <v>0</v>
      </c>
      <c r="AJ20" s="110">
        <v>0</v>
      </c>
      <c r="AK20" s="110">
        <v>0</v>
      </c>
      <c r="AL20" s="110"/>
    </row>
    <row r="21" spans="3:38" s="89" customFormat="1" x14ac:dyDescent="0.25">
      <c r="C21" s="156" t="s">
        <v>320</v>
      </c>
      <c r="D21" s="157" t="s">
        <v>319</v>
      </c>
      <c r="E21" s="156" t="s">
        <v>153</v>
      </c>
      <c r="F21" s="156" t="s">
        <v>323</v>
      </c>
      <c r="G21" s="156">
        <v>210000</v>
      </c>
      <c r="H21" s="90">
        <f t="shared" si="0"/>
        <v>0</v>
      </c>
      <c r="I21" s="90">
        <f t="shared" si="1"/>
        <v>210000</v>
      </c>
      <c r="J21" s="135">
        <f t="shared" si="2"/>
        <v>0</v>
      </c>
      <c r="K21" s="97"/>
      <c r="L21" s="90"/>
      <c r="M21" s="90"/>
      <c r="N21" s="90"/>
      <c r="O21" s="90"/>
      <c r="P21" s="90"/>
      <c r="Q21" s="90"/>
      <c r="R21" s="90"/>
      <c r="S21" s="90"/>
      <c r="T21" s="90"/>
      <c r="U21" s="90"/>
      <c r="V21" s="90"/>
      <c r="W21" s="90"/>
      <c r="X21" s="90"/>
    </row>
    <row r="22" spans="3:38" s="89" customFormat="1" x14ac:dyDescent="0.25">
      <c r="C22" s="90"/>
      <c r="D22" s="91"/>
      <c r="E22" s="90"/>
      <c r="F22" s="90"/>
      <c r="G22" s="90"/>
      <c r="H22" s="90">
        <f t="shared" si="0"/>
        <v>0</v>
      </c>
      <c r="I22" s="90">
        <f t="shared" si="1"/>
        <v>0</v>
      </c>
      <c r="J22" s="135" t="str">
        <f t="shared" si="2"/>
        <v/>
      </c>
      <c r="K22" s="109" t="str">
        <f>IF(L22="","",I22/Z22)</f>
        <v/>
      </c>
      <c r="L22" s="90"/>
      <c r="M22" s="90"/>
      <c r="N22" s="90"/>
      <c r="O22" s="90"/>
      <c r="P22" s="90"/>
      <c r="Q22" s="90"/>
      <c r="R22" s="90"/>
      <c r="S22" s="90"/>
      <c r="T22" s="90"/>
      <c r="U22" s="90"/>
      <c r="V22" s="90"/>
      <c r="W22" s="90"/>
      <c r="X22" s="90"/>
      <c r="Y22" s="110"/>
      <c r="Z22" s="111" cm="1">
        <f t="array" ref="Z22:AK22">INDEX(L22:W22,COUNT(L22:W22))</f>
        <v>0</v>
      </c>
      <c r="AA22" s="110">
        <v>0</v>
      </c>
      <c r="AB22" s="110">
        <v>0</v>
      </c>
      <c r="AC22" s="110">
        <v>0</v>
      </c>
      <c r="AD22" s="110">
        <v>0</v>
      </c>
      <c r="AE22" s="110">
        <v>0</v>
      </c>
      <c r="AF22" s="110">
        <v>0</v>
      </c>
      <c r="AG22" s="110">
        <v>0</v>
      </c>
      <c r="AH22" s="110">
        <v>0</v>
      </c>
      <c r="AI22" s="110">
        <v>0</v>
      </c>
      <c r="AJ22" s="110">
        <v>0</v>
      </c>
      <c r="AK22" s="110">
        <v>0</v>
      </c>
      <c r="AL22" s="110"/>
    </row>
    <row r="23" spans="3:38" s="89" customFormat="1" x14ac:dyDescent="0.25">
      <c r="C23" s="90"/>
      <c r="D23" s="91"/>
      <c r="E23" s="90"/>
      <c r="F23" s="90"/>
      <c r="G23" s="90"/>
      <c r="H23" s="90">
        <f t="shared" si="0"/>
        <v>0</v>
      </c>
      <c r="I23" s="90">
        <f t="shared" si="1"/>
        <v>0</v>
      </c>
      <c r="J23" s="135" t="str">
        <f t="shared" si="2"/>
        <v/>
      </c>
      <c r="K23" s="97"/>
      <c r="L23" s="90"/>
      <c r="M23" s="90"/>
      <c r="N23" s="90"/>
      <c r="O23" s="90"/>
      <c r="P23" s="90"/>
      <c r="Q23" s="90"/>
      <c r="R23" s="90"/>
      <c r="S23" s="90"/>
      <c r="T23" s="90"/>
      <c r="U23" s="90"/>
      <c r="V23" s="90"/>
      <c r="W23" s="90"/>
      <c r="X23" s="90"/>
    </row>
    <row r="24" spans="3:38" s="89" customFormat="1" x14ac:dyDescent="0.25">
      <c r="C24" s="92"/>
      <c r="D24" s="91"/>
      <c r="E24" s="90"/>
      <c r="F24" s="90"/>
      <c r="G24" s="90"/>
      <c r="H24" s="90">
        <f t="shared" si="0"/>
        <v>0</v>
      </c>
      <c r="I24" s="90">
        <f t="shared" si="1"/>
        <v>0</v>
      </c>
      <c r="J24" s="135" t="str">
        <f t="shared" si="2"/>
        <v/>
      </c>
      <c r="K24" s="109" t="str">
        <f t="shared" ref="K24:K26" si="3">IF(L24="","",I24/Z24)</f>
        <v/>
      </c>
      <c r="L24" s="90"/>
      <c r="M24" s="90"/>
      <c r="N24" s="90"/>
      <c r="O24" s="90"/>
      <c r="P24" s="90"/>
      <c r="Q24" s="90"/>
      <c r="R24" s="90"/>
      <c r="S24" s="90"/>
      <c r="T24" s="90"/>
      <c r="U24" s="90"/>
      <c r="V24" s="90"/>
      <c r="W24" s="90"/>
      <c r="X24" s="90"/>
      <c r="Y24" s="110"/>
      <c r="Z24" s="111" cm="1">
        <f t="array" ref="Z24:AK24">INDEX(L24:W24,COUNT(L24:W24))</f>
        <v>0</v>
      </c>
      <c r="AA24" s="110">
        <v>0</v>
      </c>
      <c r="AB24" s="110">
        <v>0</v>
      </c>
      <c r="AC24" s="110">
        <v>0</v>
      </c>
      <c r="AD24" s="110">
        <v>0</v>
      </c>
      <c r="AE24" s="110">
        <v>0</v>
      </c>
      <c r="AF24" s="110">
        <v>0</v>
      </c>
      <c r="AG24" s="110">
        <v>0</v>
      </c>
      <c r="AH24" s="110">
        <v>0</v>
      </c>
      <c r="AI24" s="110">
        <v>0</v>
      </c>
      <c r="AJ24" s="110">
        <v>0</v>
      </c>
      <c r="AK24" s="110">
        <v>0</v>
      </c>
      <c r="AL24" s="110"/>
    </row>
    <row r="25" spans="3:38" s="89" customFormat="1" x14ac:dyDescent="0.25">
      <c r="C25" s="92"/>
      <c r="D25" s="91"/>
      <c r="E25" s="90"/>
      <c r="F25" s="90"/>
      <c r="G25" s="90"/>
      <c r="H25" s="90">
        <f t="shared" si="0"/>
        <v>0</v>
      </c>
      <c r="I25" s="90">
        <f t="shared" si="1"/>
        <v>0</v>
      </c>
      <c r="J25" s="135" t="str">
        <f t="shared" si="2"/>
        <v/>
      </c>
      <c r="K25" s="109" t="str">
        <f t="shared" si="3"/>
        <v/>
      </c>
      <c r="L25" s="90"/>
      <c r="M25" s="90"/>
      <c r="N25" s="90"/>
      <c r="O25" s="90"/>
      <c r="P25" s="90"/>
      <c r="Q25" s="90"/>
      <c r="R25" s="90"/>
      <c r="S25" s="90"/>
      <c r="T25" s="90"/>
      <c r="U25" s="90"/>
      <c r="V25" s="90"/>
      <c r="W25" s="90"/>
      <c r="X25" s="90"/>
      <c r="Y25" s="110"/>
      <c r="Z25" s="111" cm="1">
        <f t="array" ref="Z25:AK25">INDEX(L25:W25,COUNT(L25:W25))</f>
        <v>0</v>
      </c>
      <c r="AA25" s="110">
        <v>0</v>
      </c>
      <c r="AB25" s="110">
        <v>0</v>
      </c>
      <c r="AC25" s="110">
        <v>0</v>
      </c>
      <c r="AD25" s="110">
        <v>0</v>
      </c>
      <c r="AE25" s="110">
        <v>0</v>
      </c>
      <c r="AF25" s="110">
        <v>0</v>
      </c>
      <c r="AG25" s="110">
        <v>0</v>
      </c>
      <c r="AH25" s="110">
        <v>0</v>
      </c>
      <c r="AI25" s="110">
        <v>0</v>
      </c>
      <c r="AJ25" s="110">
        <v>0</v>
      </c>
      <c r="AK25" s="110">
        <v>0</v>
      </c>
      <c r="AL25" s="110"/>
    </row>
    <row r="26" spans="3:38" s="89" customFormat="1" x14ac:dyDescent="0.25">
      <c r="C26" s="92"/>
      <c r="D26" s="91"/>
      <c r="E26" s="90"/>
      <c r="F26" s="90"/>
      <c r="G26" s="90"/>
      <c r="H26" s="90">
        <f t="shared" si="0"/>
        <v>0</v>
      </c>
      <c r="I26" s="90">
        <f t="shared" si="1"/>
        <v>0</v>
      </c>
      <c r="J26" s="135" t="str">
        <f t="shared" si="2"/>
        <v/>
      </c>
      <c r="K26" s="109" t="str">
        <f t="shared" si="3"/>
        <v/>
      </c>
      <c r="L26" s="90"/>
      <c r="M26" s="90"/>
      <c r="N26" s="90"/>
      <c r="O26" s="90"/>
      <c r="P26" s="90"/>
      <c r="Q26" s="90"/>
      <c r="R26" s="90"/>
      <c r="S26" s="90"/>
      <c r="T26" s="90"/>
      <c r="U26" s="90"/>
      <c r="V26" s="90"/>
      <c r="W26" s="90"/>
      <c r="X26" s="90"/>
      <c r="Y26" s="110"/>
      <c r="Z26" s="111" cm="1">
        <f t="array" ref="Z26:AK26">INDEX(L26:W26,COUNT(L26:W26))</f>
        <v>0</v>
      </c>
      <c r="AA26" s="110">
        <v>0</v>
      </c>
      <c r="AB26" s="110">
        <v>0</v>
      </c>
      <c r="AC26" s="110">
        <v>0</v>
      </c>
      <c r="AD26" s="110">
        <v>0</v>
      </c>
      <c r="AE26" s="110">
        <v>0</v>
      </c>
      <c r="AF26" s="110">
        <v>0</v>
      </c>
      <c r="AG26" s="110">
        <v>0</v>
      </c>
      <c r="AH26" s="110">
        <v>0</v>
      </c>
      <c r="AI26" s="110">
        <v>0</v>
      </c>
      <c r="AJ26" s="110">
        <v>0</v>
      </c>
      <c r="AK26" s="110">
        <v>0</v>
      </c>
      <c r="AL26" s="110"/>
    </row>
    <row r="27" spans="3:38" s="89" customFormat="1" x14ac:dyDescent="0.25">
      <c r="C27" s="92"/>
      <c r="D27" s="91"/>
      <c r="E27" s="90"/>
      <c r="F27" s="90"/>
      <c r="G27" s="90"/>
      <c r="H27" s="90">
        <f t="shared" si="0"/>
        <v>0</v>
      </c>
      <c r="I27" s="90">
        <f t="shared" si="1"/>
        <v>0</v>
      </c>
      <c r="J27" s="135" t="str">
        <f t="shared" si="2"/>
        <v/>
      </c>
      <c r="K27" s="97"/>
      <c r="L27" s="90"/>
      <c r="M27" s="90"/>
      <c r="N27" s="90"/>
      <c r="O27" s="90"/>
      <c r="P27" s="90"/>
      <c r="Q27" s="90"/>
      <c r="R27" s="90"/>
      <c r="S27" s="90"/>
      <c r="T27" s="90"/>
      <c r="U27" s="90"/>
      <c r="V27" s="90"/>
      <c r="W27" s="90"/>
      <c r="X27" s="90"/>
    </row>
    <row r="28" spans="3:38" s="89" customFormat="1" x14ac:dyDescent="0.25">
      <c r="C28" s="92"/>
      <c r="D28" s="91"/>
      <c r="E28" s="90"/>
      <c r="F28" s="90"/>
      <c r="G28" s="90"/>
      <c r="H28" s="90">
        <f t="shared" si="0"/>
        <v>0</v>
      </c>
      <c r="I28" s="90">
        <f t="shared" si="1"/>
        <v>0</v>
      </c>
      <c r="J28" s="135" t="str">
        <f t="shared" si="2"/>
        <v/>
      </c>
      <c r="K28" s="97"/>
      <c r="L28" s="90"/>
      <c r="M28" s="90"/>
      <c r="N28" s="90"/>
      <c r="O28" s="90"/>
      <c r="P28" s="90"/>
      <c r="Q28" s="90"/>
      <c r="R28" s="90"/>
      <c r="S28" s="90"/>
      <c r="T28" s="90"/>
      <c r="U28" s="90"/>
      <c r="V28" s="90"/>
      <c r="W28" s="90"/>
      <c r="X28" s="90"/>
    </row>
    <row r="29" spans="3:38" s="89" customFormat="1" x14ac:dyDescent="0.25">
      <c r="C29" s="90"/>
      <c r="D29" s="91"/>
      <c r="E29" s="90"/>
      <c r="F29" s="90"/>
      <c r="G29" s="90"/>
      <c r="H29" s="90">
        <f t="shared" si="0"/>
        <v>0</v>
      </c>
      <c r="I29" s="90">
        <f t="shared" si="1"/>
        <v>0</v>
      </c>
      <c r="J29" s="135" t="str">
        <f t="shared" si="2"/>
        <v/>
      </c>
      <c r="K29" s="109" t="str">
        <f t="shared" ref="K29:K31" si="4">IF(L29="","",I29/Z29)</f>
        <v/>
      </c>
      <c r="L29" s="90"/>
      <c r="M29" s="90"/>
      <c r="N29" s="90"/>
      <c r="O29" s="90"/>
      <c r="P29" s="90"/>
      <c r="Q29" s="90"/>
      <c r="R29" s="90"/>
      <c r="S29" s="90"/>
      <c r="T29" s="90"/>
      <c r="U29" s="90"/>
      <c r="V29" s="90"/>
      <c r="W29" s="90"/>
      <c r="X29" s="90" t="s">
        <v>236</v>
      </c>
      <c r="Y29" s="110"/>
      <c r="Z29" s="111" cm="1">
        <f t="array" ref="Z29:AK29">INDEX(L29:W29,COUNT(L29:W29))</f>
        <v>0</v>
      </c>
      <c r="AA29" s="110">
        <v>0</v>
      </c>
      <c r="AB29" s="110">
        <v>0</v>
      </c>
      <c r="AC29" s="110">
        <v>0</v>
      </c>
      <c r="AD29" s="110">
        <v>0</v>
      </c>
      <c r="AE29" s="110">
        <v>0</v>
      </c>
      <c r="AF29" s="110">
        <v>0</v>
      </c>
      <c r="AG29" s="110">
        <v>0</v>
      </c>
      <c r="AH29" s="110">
        <v>0</v>
      </c>
      <c r="AI29" s="110">
        <v>0</v>
      </c>
      <c r="AJ29" s="110">
        <v>0</v>
      </c>
      <c r="AK29" s="110">
        <v>0</v>
      </c>
      <c r="AL29" s="110"/>
    </row>
    <row r="30" spans="3:38" s="89" customFormat="1" x14ac:dyDescent="0.25">
      <c r="C30" s="90"/>
      <c r="D30" s="91"/>
      <c r="E30" s="90"/>
      <c r="F30" s="90"/>
      <c r="G30" s="90"/>
      <c r="H30" s="90">
        <f t="shared" si="0"/>
        <v>0</v>
      </c>
      <c r="I30" s="90">
        <f t="shared" si="1"/>
        <v>0</v>
      </c>
      <c r="J30" s="135" t="str">
        <f t="shared" si="2"/>
        <v/>
      </c>
      <c r="K30" s="109" t="str">
        <f t="shared" si="4"/>
        <v/>
      </c>
      <c r="L30" s="90"/>
      <c r="M30" s="90"/>
      <c r="N30" s="90"/>
      <c r="O30" s="90"/>
      <c r="P30" s="90"/>
      <c r="Q30" s="90"/>
      <c r="R30" s="90"/>
      <c r="S30" s="90"/>
      <c r="T30" s="90"/>
      <c r="U30" s="90"/>
      <c r="V30" s="90"/>
      <c r="W30" s="90"/>
      <c r="X30" s="90" t="s">
        <v>236</v>
      </c>
      <c r="Y30" s="110"/>
      <c r="Z30" s="111" cm="1">
        <f t="array" ref="Z30:AK30">INDEX(L30:W30,COUNT(L30:W30))</f>
        <v>0</v>
      </c>
      <c r="AA30" s="110">
        <v>0</v>
      </c>
      <c r="AB30" s="110">
        <v>0</v>
      </c>
      <c r="AC30" s="110">
        <v>0</v>
      </c>
      <c r="AD30" s="110">
        <v>0</v>
      </c>
      <c r="AE30" s="110">
        <v>0</v>
      </c>
      <c r="AF30" s="110">
        <v>0</v>
      </c>
      <c r="AG30" s="110">
        <v>0</v>
      </c>
      <c r="AH30" s="110">
        <v>0</v>
      </c>
      <c r="AI30" s="110">
        <v>0</v>
      </c>
      <c r="AJ30" s="110">
        <v>0</v>
      </c>
      <c r="AK30" s="110">
        <v>0</v>
      </c>
      <c r="AL30" s="110"/>
    </row>
    <row r="31" spans="3:38" s="89" customFormat="1" x14ac:dyDescent="0.25">
      <c r="C31" s="90"/>
      <c r="D31" s="91"/>
      <c r="E31" s="90"/>
      <c r="F31" s="90"/>
      <c r="G31" s="90"/>
      <c r="H31" s="90">
        <f t="shared" si="0"/>
        <v>0</v>
      </c>
      <c r="I31" s="90">
        <f t="shared" si="1"/>
        <v>0</v>
      </c>
      <c r="J31" s="135" t="str">
        <f t="shared" si="2"/>
        <v/>
      </c>
      <c r="K31" s="109" t="str">
        <f t="shared" si="4"/>
        <v/>
      </c>
      <c r="L31" s="90"/>
      <c r="M31" s="90"/>
      <c r="N31" s="90"/>
      <c r="O31" s="90"/>
      <c r="P31" s="90"/>
      <c r="Q31" s="90"/>
      <c r="R31" s="90"/>
      <c r="S31" s="90"/>
      <c r="T31" s="90"/>
      <c r="U31" s="90"/>
      <c r="V31" s="90"/>
      <c r="W31" s="90"/>
      <c r="X31" s="90" t="s">
        <v>236</v>
      </c>
      <c r="Y31" s="110"/>
      <c r="Z31" s="111" cm="1">
        <f t="array" ref="Z31:AK31">INDEX(L31:W31,COUNT(L31:W31))</f>
        <v>0</v>
      </c>
      <c r="AA31" s="110">
        <v>0</v>
      </c>
      <c r="AB31" s="110">
        <v>0</v>
      </c>
      <c r="AC31" s="110">
        <v>0</v>
      </c>
      <c r="AD31" s="110">
        <v>0</v>
      </c>
      <c r="AE31" s="110">
        <v>0</v>
      </c>
      <c r="AF31" s="110">
        <v>0</v>
      </c>
      <c r="AG31" s="110">
        <v>0</v>
      </c>
      <c r="AH31" s="110">
        <v>0</v>
      </c>
      <c r="AI31" s="110">
        <v>0</v>
      </c>
      <c r="AJ31" s="110">
        <v>0</v>
      </c>
      <c r="AK31" s="110">
        <v>0</v>
      </c>
      <c r="AL31" s="110"/>
    </row>
    <row r="32" spans="3:38" s="89" customFormat="1" x14ac:dyDescent="0.25">
      <c r="C32" s="90"/>
      <c r="D32" s="91"/>
      <c r="E32" s="90"/>
      <c r="F32" s="90"/>
      <c r="G32" s="90"/>
      <c r="H32" s="90">
        <f t="shared" si="0"/>
        <v>0</v>
      </c>
      <c r="I32" s="90">
        <f t="shared" si="1"/>
        <v>0</v>
      </c>
      <c r="J32" s="135" t="str">
        <f t="shared" si="2"/>
        <v/>
      </c>
      <c r="K32" s="97"/>
      <c r="L32" s="90"/>
      <c r="M32" s="90"/>
      <c r="N32" s="90"/>
      <c r="O32" s="90"/>
      <c r="P32" s="90"/>
      <c r="Q32" s="90"/>
      <c r="R32" s="90"/>
      <c r="S32" s="90"/>
      <c r="T32" s="90"/>
      <c r="U32" s="90"/>
      <c r="V32" s="90"/>
      <c r="W32" s="90"/>
      <c r="X32" s="90" t="s">
        <v>236</v>
      </c>
    </row>
    <row r="33" spans="3:38" s="89" customFormat="1" x14ac:dyDescent="0.25">
      <c r="C33" s="90"/>
      <c r="D33" s="91"/>
      <c r="E33" s="90"/>
      <c r="F33" s="90"/>
      <c r="G33" s="90"/>
      <c r="H33" s="90">
        <f t="shared" si="0"/>
        <v>0</v>
      </c>
      <c r="I33" s="90">
        <f t="shared" si="1"/>
        <v>0</v>
      </c>
      <c r="J33" s="135" t="str">
        <f t="shared" si="2"/>
        <v/>
      </c>
      <c r="K33" s="97"/>
      <c r="L33" s="90"/>
      <c r="M33" s="90"/>
      <c r="N33" s="90"/>
      <c r="O33" s="90"/>
      <c r="P33" s="90"/>
      <c r="Q33" s="90"/>
      <c r="R33" s="90"/>
      <c r="S33" s="90"/>
      <c r="T33" s="90"/>
      <c r="U33" s="90"/>
      <c r="V33" s="90"/>
      <c r="W33" s="90"/>
      <c r="X33" s="90" t="s">
        <v>236</v>
      </c>
    </row>
    <row r="34" spans="3:38" s="89" customFormat="1" x14ac:dyDescent="0.25">
      <c r="C34" s="93"/>
      <c r="D34" s="91"/>
      <c r="E34" s="90"/>
      <c r="F34" s="90"/>
      <c r="G34" s="90"/>
      <c r="H34" s="90">
        <f t="shared" si="0"/>
        <v>0</v>
      </c>
      <c r="I34" s="90">
        <f t="shared" si="1"/>
        <v>0</v>
      </c>
      <c r="J34" s="135" t="str">
        <f t="shared" si="2"/>
        <v/>
      </c>
      <c r="K34" s="109" t="str">
        <f>IF(L34="","",I34/Z34)</f>
        <v/>
      </c>
      <c r="L34" s="90"/>
      <c r="M34" s="90"/>
      <c r="N34" s="90"/>
      <c r="O34" s="90"/>
      <c r="P34" s="90"/>
      <c r="Q34" s="90"/>
      <c r="R34" s="90"/>
      <c r="S34" s="90"/>
      <c r="T34" s="90"/>
      <c r="U34" s="90"/>
      <c r="V34" s="90"/>
      <c r="W34" s="90"/>
      <c r="X34" s="90" t="s">
        <v>237</v>
      </c>
      <c r="Y34" s="110"/>
      <c r="Z34" s="111" cm="1">
        <f t="array" ref="Z34:AK34">INDEX(L34:W34,COUNT(L34:W34))</f>
        <v>0</v>
      </c>
      <c r="AA34" s="110">
        <v>0</v>
      </c>
      <c r="AB34" s="110">
        <v>0</v>
      </c>
      <c r="AC34" s="110">
        <v>0</v>
      </c>
      <c r="AD34" s="110">
        <v>0</v>
      </c>
      <c r="AE34" s="110">
        <v>0</v>
      </c>
      <c r="AF34" s="110">
        <v>0</v>
      </c>
      <c r="AG34" s="110">
        <v>0</v>
      </c>
      <c r="AH34" s="110">
        <v>0</v>
      </c>
      <c r="AI34" s="110">
        <v>0</v>
      </c>
      <c r="AJ34" s="110">
        <v>0</v>
      </c>
      <c r="AK34" s="110">
        <v>0</v>
      </c>
      <c r="AL34" s="110"/>
    </row>
    <row r="35" spans="3:38" s="89" customFormat="1" x14ac:dyDescent="0.25">
      <c r="C35" s="93"/>
      <c r="D35" s="91"/>
      <c r="E35" s="90"/>
      <c r="F35" s="90"/>
      <c r="G35" s="90"/>
      <c r="H35" s="90">
        <f t="shared" si="0"/>
        <v>0</v>
      </c>
      <c r="I35" s="90">
        <f t="shared" si="1"/>
        <v>0</v>
      </c>
      <c r="J35" s="135" t="str">
        <f t="shared" si="2"/>
        <v/>
      </c>
      <c r="K35" s="97"/>
      <c r="L35" s="90"/>
      <c r="M35" s="90"/>
      <c r="N35" s="90"/>
      <c r="O35" s="90"/>
      <c r="P35" s="90"/>
      <c r="Q35" s="90"/>
      <c r="R35" s="90"/>
      <c r="S35" s="90"/>
      <c r="T35" s="90"/>
      <c r="U35" s="90"/>
      <c r="V35" s="90"/>
      <c r="W35" s="90"/>
      <c r="X35" s="90" t="s">
        <v>237</v>
      </c>
    </row>
    <row r="36" spans="3:38" s="89" customFormat="1" x14ac:dyDescent="0.25">
      <c r="C36" s="93"/>
      <c r="D36" s="91"/>
      <c r="E36" s="90"/>
      <c r="F36" s="90"/>
      <c r="G36" s="90"/>
      <c r="H36" s="90">
        <f t="shared" si="0"/>
        <v>0</v>
      </c>
      <c r="I36" s="90">
        <f t="shared" si="1"/>
        <v>0</v>
      </c>
      <c r="J36" s="135" t="str">
        <f t="shared" si="2"/>
        <v/>
      </c>
      <c r="K36" s="109" t="str">
        <f>IF(L36="","",I36/Z36)</f>
        <v/>
      </c>
      <c r="L36" s="90"/>
      <c r="M36" s="90"/>
      <c r="N36" s="90"/>
      <c r="O36" s="90"/>
      <c r="P36" s="90"/>
      <c r="Q36" s="90"/>
      <c r="R36" s="90"/>
      <c r="S36" s="90"/>
      <c r="T36" s="90"/>
      <c r="U36" s="90"/>
      <c r="V36" s="90"/>
      <c r="W36" s="90"/>
      <c r="X36" s="90" t="s">
        <v>237</v>
      </c>
      <c r="Y36" s="110"/>
      <c r="Z36" s="111" cm="1">
        <f t="array" ref="Z36:AK36">INDEX(L36:W36,COUNT(L36:W36))</f>
        <v>0</v>
      </c>
      <c r="AA36" s="110">
        <v>0</v>
      </c>
      <c r="AB36" s="110">
        <v>0</v>
      </c>
      <c r="AC36" s="110">
        <v>0</v>
      </c>
      <c r="AD36" s="110">
        <v>0</v>
      </c>
      <c r="AE36" s="110">
        <v>0</v>
      </c>
      <c r="AF36" s="110">
        <v>0</v>
      </c>
      <c r="AG36" s="110">
        <v>0</v>
      </c>
      <c r="AH36" s="110">
        <v>0</v>
      </c>
      <c r="AI36" s="110">
        <v>0</v>
      </c>
      <c r="AJ36" s="110">
        <v>0</v>
      </c>
      <c r="AK36" s="110">
        <v>0</v>
      </c>
      <c r="AL36" s="110"/>
    </row>
    <row r="37" spans="3:38" s="89" customFormat="1" x14ac:dyDescent="0.25">
      <c r="C37" s="93"/>
      <c r="D37" s="91"/>
      <c r="E37" s="90"/>
      <c r="F37" s="90"/>
      <c r="G37" s="90"/>
      <c r="H37" s="90">
        <f t="shared" si="0"/>
        <v>0</v>
      </c>
      <c r="I37" s="90">
        <f t="shared" si="1"/>
        <v>0</v>
      </c>
      <c r="J37" s="135" t="str">
        <f t="shared" si="2"/>
        <v/>
      </c>
      <c r="K37" s="97"/>
      <c r="L37" s="90"/>
      <c r="M37" s="90"/>
      <c r="N37" s="90"/>
      <c r="O37" s="90"/>
      <c r="P37" s="90"/>
      <c r="Q37" s="90"/>
      <c r="R37" s="90"/>
      <c r="S37" s="90"/>
      <c r="T37" s="90"/>
      <c r="U37" s="90"/>
      <c r="V37" s="90"/>
      <c r="W37" s="90"/>
      <c r="X37" s="90" t="s">
        <v>237</v>
      </c>
    </row>
    <row r="38" spans="3:38" s="89" customFormat="1" x14ac:dyDescent="0.25">
      <c r="C38" s="90"/>
      <c r="D38" s="91"/>
      <c r="E38" s="90"/>
      <c r="F38" s="90"/>
      <c r="G38" s="90"/>
      <c r="H38" s="90">
        <f t="shared" si="0"/>
        <v>0</v>
      </c>
      <c r="I38" s="90">
        <f t="shared" si="1"/>
        <v>0</v>
      </c>
      <c r="J38" s="135" t="str">
        <f t="shared" si="2"/>
        <v/>
      </c>
      <c r="K38" s="109" t="str">
        <f t="shared" ref="K38:K40" si="5">IF(L38="","",I38/Z38)</f>
        <v/>
      </c>
      <c r="L38" s="90"/>
      <c r="M38" s="90"/>
      <c r="N38" s="90"/>
      <c r="O38" s="90"/>
      <c r="P38" s="90"/>
      <c r="Q38" s="90"/>
      <c r="R38" s="90"/>
      <c r="S38" s="90"/>
      <c r="T38" s="94"/>
      <c r="U38" s="90"/>
      <c r="V38" s="90"/>
      <c r="W38" s="90"/>
      <c r="X38" s="90" t="s">
        <v>237</v>
      </c>
      <c r="Y38" s="110"/>
      <c r="Z38" s="111" cm="1">
        <f t="array" ref="Z38:AK38">INDEX(L38:W38,COUNT(L38:W38))</f>
        <v>0</v>
      </c>
      <c r="AA38" s="110">
        <v>0</v>
      </c>
      <c r="AB38" s="110">
        <v>0</v>
      </c>
      <c r="AC38" s="110">
        <v>0</v>
      </c>
      <c r="AD38" s="110">
        <v>0</v>
      </c>
      <c r="AE38" s="110">
        <v>0</v>
      </c>
      <c r="AF38" s="110">
        <v>0</v>
      </c>
      <c r="AG38" s="110">
        <v>0</v>
      </c>
      <c r="AH38" s="110">
        <v>0</v>
      </c>
      <c r="AI38" s="110">
        <v>0</v>
      </c>
      <c r="AJ38" s="110">
        <v>0</v>
      </c>
      <c r="AK38" s="110">
        <v>0</v>
      </c>
      <c r="AL38" s="110"/>
    </row>
    <row r="39" spans="3:38" s="89" customFormat="1" x14ac:dyDescent="0.25">
      <c r="C39" s="90"/>
      <c r="D39" s="91"/>
      <c r="E39" s="90"/>
      <c r="F39" s="90"/>
      <c r="G39" s="90"/>
      <c r="H39" s="90">
        <f t="shared" si="0"/>
        <v>0</v>
      </c>
      <c r="I39" s="90">
        <f t="shared" si="1"/>
        <v>0</v>
      </c>
      <c r="J39" s="135" t="str">
        <f t="shared" si="2"/>
        <v/>
      </c>
      <c r="K39" s="109" t="str">
        <f t="shared" si="5"/>
        <v/>
      </c>
      <c r="L39" s="90"/>
      <c r="M39" s="90"/>
      <c r="N39" s="90"/>
      <c r="O39" s="90"/>
      <c r="P39" s="90"/>
      <c r="Q39" s="90"/>
      <c r="R39" s="90"/>
      <c r="S39" s="90"/>
      <c r="T39" s="90"/>
      <c r="U39" s="90"/>
      <c r="V39" s="90"/>
      <c r="W39" s="90"/>
      <c r="X39" s="90" t="s">
        <v>238</v>
      </c>
      <c r="Y39" s="110"/>
      <c r="Z39" s="111" cm="1">
        <f t="array" ref="Z39:AK39">INDEX(L39:W39,COUNT(L39:W39))</f>
        <v>0</v>
      </c>
      <c r="AA39" s="110">
        <v>0</v>
      </c>
      <c r="AB39" s="110">
        <v>0</v>
      </c>
      <c r="AC39" s="110">
        <v>0</v>
      </c>
      <c r="AD39" s="110">
        <v>0</v>
      </c>
      <c r="AE39" s="110">
        <v>0</v>
      </c>
      <c r="AF39" s="110">
        <v>0</v>
      </c>
      <c r="AG39" s="110">
        <v>0</v>
      </c>
      <c r="AH39" s="110">
        <v>0</v>
      </c>
      <c r="AI39" s="110">
        <v>0</v>
      </c>
      <c r="AJ39" s="110">
        <v>0</v>
      </c>
      <c r="AK39" s="110">
        <v>0</v>
      </c>
      <c r="AL39" s="110"/>
    </row>
    <row r="40" spans="3:38" s="89" customFormat="1" x14ac:dyDescent="0.25">
      <c r="C40" s="90"/>
      <c r="D40" s="91"/>
      <c r="E40" s="90"/>
      <c r="F40" s="90"/>
      <c r="G40" s="90"/>
      <c r="H40" s="90">
        <f t="shared" si="0"/>
        <v>0</v>
      </c>
      <c r="I40" s="90">
        <f t="shared" si="1"/>
        <v>0</v>
      </c>
      <c r="J40" s="135" t="str">
        <f t="shared" si="2"/>
        <v/>
      </c>
      <c r="K40" s="109" t="str">
        <f t="shared" si="5"/>
        <v/>
      </c>
      <c r="L40" s="90"/>
      <c r="M40" s="90"/>
      <c r="N40" s="90"/>
      <c r="O40" s="90"/>
      <c r="P40" s="90"/>
      <c r="Q40" s="90"/>
      <c r="R40" s="90"/>
      <c r="S40" s="90"/>
      <c r="T40" s="90"/>
      <c r="U40" s="90"/>
      <c r="V40" s="90"/>
      <c r="W40" s="90"/>
      <c r="X40" s="90" t="s">
        <v>237</v>
      </c>
      <c r="Y40" s="110"/>
      <c r="Z40" s="111" cm="1">
        <f t="array" ref="Z40:AK40">INDEX(L40:W40,COUNT(L40:W40))</f>
        <v>0</v>
      </c>
      <c r="AA40" s="110">
        <v>0</v>
      </c>
      <c r="AB40" s="110">
        <v>0</v>
      </c>
      <c r="AC40" s="110">
        <v>0</v>
      </c>
      <c r="AD40" s="110">
        <v>0</v>
      </c>
      <c r="AE40" s="110">
        <v>0</v>
      </c>
      <c r="AF40" s="110">
        <v>0</v>
      </c>
      <c r="AG40" s="110">
        <v>0</v>
      </c>
      <c r="AH40" s="110">
        <v>0</v>
      </c>
      <c r="AI40" s="110">
        <v>0</v>
      </c>
      <c r="AJ40" s="110">
        <v>0</v>
      </c>
      <c r="AK40" s="110">
        <v>0</v>
      </c>
      <c r="AL40" s="110"/>
    </row>
    <row r="41" spans="3:38" s="89" customFormat="1" x14ac:dyDescent="0.25">
      <c r="C41" s="90"/>
      <c r="D41" s="91"/>
      <c r="E41" s="90"/>
      <c r="F41" s="90"/>
      <c r="G41" s="90"/>
      <c r="H41" s="90">
        <f t="shared" si="0"/>
        <v>0</v>
      </c>
      <c r="I41" s="90">
        <f t="shared" si="1"/>
        <v>0</v>
      </c>
      <c r="J41" s="135" t="str">
        <f t="shared" si="2"/>
        <v/>
      </c>
      <c r="K41" s="97"/>
      <c r="L41" s="90"/>
      <c r="M41" s="90"/>
      <c r="N41" s="90"/>
      <c r="O41" s="90"/>
      <c r="P41" s="90"/>
      <c r="Q41" s="90"/>
      <c r="R41" s="90"/>
      <c r="S41" s="90"/>
      <c r="T41" s="90"/>
      <c r="U41" s="90"/>
      <c r="V41" s="90"/>
      <c r="W41" s="90"/>
      <c r="X41" s="90" t="s">
        <v>237</v>
      </c>
    </row>
    <row r="42" spans="3:38" s="89" customFormat="1" x14ac:dyDescent="0.25">
      <c r="C42" s="90"/>
      <c r="D42" s="91"/>
      <c r="E42" s="90"/>
      <c r="F42" s="90"/>
      <c r="G42" s="90"/>
      <c r="H42" s="90">
        <f t="shared" si="0"/>
        <v>0</v>
      </c>
      <c r="I42" s="90">
        <f t="shared" si="1"/>
        <v>0</v>
      </c>
      <c r="J42" s="135" t="str">
        <f t="shared" si="2"/>
        <v/>
      </c>
      <c r="K42" s="109" t="str">
        <f>IF(L42="","",I42/Z42)</f>
        <v/>
      </c>
      <c r="L42" s="90"/>
      <c r="M42" s="90"/>
      <c r="N42" s="90"/>
      <c r="O42" s="90"/>
      <c r="P42" s="90"/>
      <c r="Q42" s="90"/>
      <c r="R42" s="90"/>
      <c r="S42" s="90"/>
      <c r="T42" s="90"/>
      <c r="U42" s="90"/>
      <c r="V42" s="90"/>
      <c r="W42" s="90"/>
      <c r="X42" s="90" t="s">
        <v>237</v>
      </c>
      <c r="Y42" s="110"/>
      <c r="Z42" s="111" cm="1">
        <f t="array" ref="Z42:AK42">INDEX(L42:W42,COUNT(L42:W42))</f>
        <v>0</v>
      </c>
      <c r="AA42" s="110">
        <v>0</v>
      </c>
      <c r="AB42" s="110">
        <v>0</v>
      </c>
      <c r="AC42" s="110">
        <v>0</v>
      </c>
      <c r="AD42" s="110">
        <v>0</v>
      </c>
      <c r="AE42" s="110">
        <v>0</v>
      </c>
      <c r="AF42" s="110">
        <v>0</v>
      </c>
      <c r="AG42" s="110">
        <v>0</v>
      </c>
      <c r="AH42" s="110">
        <v>0</v>
      </c>
      <c r="AI42" s="110">
        <v>0</v>
      </c>
      <c r="AJ42" s="110">
        <v>0</v>
      </c>
      <c r="AK42" s="110">
        <v>0</v>
      </c>
      <c r="AL42" s="110"/>
    </row>
    <row r="43" spans="3:38" s="89" customFormat="1" x14ac:dyDescent="0.25">
      <c r="C43" s="90"/>
      <c r="D43" s="91"/>
      <c r="E43" s="90"/>
      <c r="F43" s="90"/>
      <c r="G43" s="90"/>
      <c r="H43" s="90">
        <f t="shared" si="0"/>
        <v>0</v>
      </c>
      <c r="I43" s="90">
        <f t="shared" si="1"/>
        <v>0</v>
      </c>
      <c r="J43" s="135" t="str">
        <f t="shared" si="2"/>
        <v/>
      </c>
      <c r="K43" s="97"/>
      <c r="L43" s="90"/>
      <c r="M43" s="90"/>
      <c r="N43" s="90"/>
      <c r="O43" s="90"/>
      <c r="P43" s="90"/>
      <c r="Q43" s="90"/>
      <c r="R43" s="90"/>
      <c r="S43" s="90"/>
      <c r="T43" s="90"/>
      <c r="U43" s="90"/>
      <c r="V43" s="90"/>
      <c r="W43" s="90"/>
      <c r="X43" s="90" t="s">
        <v>237</v>
      </c>
    </row>
    <row r="44" spans="3:38" s="89" customFormat="1" x14ac:dyDescent="0.25">
      <c r="C44" s="90"/>
      <c r="D44" s="91"/>
      <c r="E44" s="90"/>
      <c r="F44" s="90"/>
      <c r="G44" s="90"/>
      <c r="H44" s="90">
        <f t="shared" si="0"/>
        <v>0</v>
      </c>
      <c r="I44" s="90">
        <f t="shared" si="1"/>
        <v>0</v>
      </c>
      <c r="J44" s="135" t="str">
        <f t="shared" si="2"/>
        <v/>
      </c>
      <c r="K44" s="109" t="str">
        <f>IF(L44="","",I44/Z44)</f>
        <v/>
      </c>
      <c r="L44" s="90"/>
      <c r="M44" s="90"/>
      <c r="N44" s="90"/>
      <c r="O44" s="90"/>
      <c r="P44" s="90"/>
      <c r="Q44" s="90"/>
      <c r="R44" s="90"/>
      <c r="S44" s="90"/>
      <c r="T44" s="90"/>
      <c r="U44" s="90"/>
      <c r="V44" s="90"/>
      <c r="W44" s="90"/>
      <c r="X44" s="90" t="s">
        <v>237</v>
      </c>
      <c r="Y44" s="110"/>
      <c r="Z44" s="111" cm="1">
        <f t="array" ref="Z44:AK44">INDEX(L44:W44,COUNT(L44:W44))</f>
        <v>0</v>
      </c>
      <c r="AA44" s="110">
        <v>0</v>
      </c>
      <c r="AB44" s="110">
        <v>0</v>
      </c>
      <c r="AC44" s="110">
        <v>0</v>
      </c>
      <c r="AD44" s="110">
        <v>0</v>
      </c>
      <c r="AE44" s="110">
        <v>0</v>
      </c>
      <c r="AF44" s="110">
        <v>0</v>
      </c>
      <c r="AG44" s="110">
        <v>0</v>
      </c>
      <c r="AH44" s="110">
        <v>0</v>
      </c>
      <c r="AI44" s="110">
        <v>0</v>
      </c>
      <c r="AJ44" s="110">
        <v>0</v>
      </c>
      <c r="AK44" s="110">
        <v>0</v>
      </c>
      <c r="AL44" s="110"/>
    </row>
    <row r="45" spans="3:38" s="89" customFormat="1" x14ac:dyDescent="0.25">
      <c r="C45" s="90"/>
      <c r="D45" s="91"/>
      <c r="E45" s="90"/>
      <c r="F45" s="90"/>
      <c r="G45" s="90"/>
      <c r="H45" s="90">
        <f t="shared" si="0"/>
        <v>0</v>
      </c>
      <c r="I45" s="90">
        <f t="shared" si="1"/>
        <v>0</v>
      </c>
      <c r="J45" s="135" t="str">
        <f t="shared" si="2"/>
        <v/>
      </c>
      <c r="K45" s="97"/>
      <c r="L45" s="90"/>
      <c r="M45" s="90"/>
      <c r="N45" s="90"/>
      <c r="O45" s="90"/>
      <c r="P45" s="90"/>
      <c r="Q45" s="90"/>
      <c r="R45" s="90"/>
      <c r="S45" s="90"/>
      <c r="T45" s="90"/>
      <c r="U45" s="90"/>
      <c r="V45" s="90"/>
      <c r="W45" s="90"/>
      <c r="X45" s="90" t="s">
        <v>237</v>
      </c>
    </row>
    <row r="46" spans="3:38" s="89" customFormat="1" x14ac:dyDescent="0.25">
      <c r="C46" s="90"/>
      <c r="D46" s="91"/>
      <c r="E46" s="90"/>
      <c r="F46" s="90"/>
      <c r="G46" s="90"/>
      <c r="H46" s="90">
        <f t="shared" ref="H46:H77" si="6">SUM(L46:W46)</f>
        <v>0</v>
      </c>
      <c r="I46" s="90">
        <f t="shared" si="1"/>
        <v>0</v>
      </c>
      <c r="J46" s="135" t="str">
        <f t="shared" si="2"/>
        <v/>
      </c>
      <c r="K46" s="109" t="str">
        <f t="shared" ref="K46:K49" si="7">IF(L46="","",I46/Z46)</f>
        <v/>
      </c>
      <c r="L46" s="90"/>
      <c r="M46" s="90"/>
      <c r="N46" s="90"/>
      <c r="O46" s="90"/>
      <c r="P46" s="90"/>
      <c r="Q46" s="90"/>
      <c r="R46" s="90"/>
      <c r="S46" s="90"/>
      <c r="T46" s="90"/>
      <c r="U46" s="90"/>
      <c r="V46" s="90"/>
      <c r="W46" s="90"/>
      <c r="X46" s="90" t="s">
        <v>237</v>
      </c>
      <c r="Y46" s="110"/>
      <c r="Z46" s="111" cm="1">
        <f t="array" ref="Z46:AK46">INDEX(L46:W46,COUNT(L46:W46))</f>
        <v>0</v>
      </c>
      <c r="AA46" s="110">
        <v>0</v>
      </c>
      <c r="AB46" s="110">
        <v>0</v>
      </c>
      <c r="AC46" s="110">
        <v>0</v>
      </c>
      <c r="AD46" s="110">
        <v>0</v>
      </c>
      <c r="AE46" s="110">
        <v>0</v>
      </c>
      <c r="AF46" s="110">
        <v>0</v>
      </c>
      <c r="AG46" s="110">
        <v>0</v>
      </c>
      <c r="AH46" s="110">
        <v>0</v>
      </c>
      <c r="AI46" s="110">
        <v>0</v>
      </c>
      <c r="AJ46" s="110">
        <v>0</v>
      </c>
      <c r="AK46" s="110">
        <v>0</v>
      </c>
      <c r="AL46" s="110"/>
    </row>
    <row r="47" spans="3:38" s="89" customFormat="1" x14ac:dyDescent="0.25">
      <c r="C47" s="90"/>
      <c r="D47" s="91"/>
      <c r="E47" s="90"/>
      <c r="F47" s="90"/>
      <c r="G47" s="90"/>
      <c r="H47" s="90">
        <f t="shared" si="6"/>
        <v>0</v>
      </c>
      <c r="I47" s="90">
        <f t="shared" si="1"/>
        <v>0</v>
      </c>
      <c r="J47" s="135" t="str">
        <f t="shared" si="2"/>
        <v/>
      </c>
      <c r="K47" s="109" t="str">
        <f t="shared" si="7"/>
        <v/>
      </c>
      <c r="L47" s="90"/>
      <c r="M47" s="90"/>
      <c r="N47" s="90"/>
      <c r="O47" s="90"/>
      <c r="P47" s="90"/>
      <c r="Q47" s="90"/>
      <c r="R47" s="90"/>
      <c r="S47" s="90"/>
      <c r="T47" s="90"/>
      <c r="U47" s="90"/>
      <c r="V47" s="90"/>
      <c r="W47" s="90"/>
      <c r="X47" s="90" t="s">
        <v>237</v>
      </c>
      <c r="Y47" s="110"/>
      <c r="Z47" s="111" cm="1">
        <f t="array" ref="Z47:AK47">INDEX(L47:W47,COUNT(L47:W47))</f>
        <v>0</v>
      </c>
      <c r="AA47" s="110">
        <v>0</v>
      </c>
      <c r="AB47" s="110">
        <v>0</v>
      </c>
      <c r="AC47" s="110">
        <v>0</v>
      </c>
      <c r="AD47" s="110">
        <v>0</v>
      </c>
      <c r="AE47" s="110">
        <v>0</v>
      </c>
      <c r="AF47" s="110">
        <v>0</v>
      </c>
      <c r="AG47" s="110">
        <v>0</v>
      </c>
      <c r="AH47" s="110">
        <v>0</v>
      </c>
      <c r="AI47" s="110">
        <v>0</v>
      </c>
      <c r="AJ47" s="110">
        <v>0</v>
      </c>
      <c r="AK47" s="110">
        <v>0</v>
      </c>
      <c r="AL47" s="110"/>
    </row>
    <row r="48" spans="3:38" s="89" customFormat="1" x14ac:dyDescent="0.25">
      <c r="C48" s="90"/>
      <c r="D48" s="91"/>
      <c r="E48" s="90"/>
      <c r="F48" s="90"/>
      <c r="G48" s="90"/>
      <c r="H48" s="90">
        <f t="shared" si="6"/>
        <v>0</v>
      </c>
      <c r="I48" s="90">
        <f t="shared" si="1"/>
        <v>0</v>
      </c>
      <c r="J48" s="135" t="str">
        <f t="shared" si="2"/>
        <v/>
      </c>
      <c r="K48" s="109" t="str">
        <f t="shared" si="7"/>
        <v/>
      </c>
      <c r="L48" s="90"/>
      <c r="M48" s="90"/>
      <c r="N48" s="90"/>
      <c r="O48" s="90"/>
      <c r="P48" s="90"/>
      <c r="Q48" s="90"/>
      <c r="R48" s="90"/>
      <c r="S48" s="90"/>
      <c r="T48" s="90"/>
      <c r="U48" s="95"/>
      <c r="V48" s="90"/>
      <c r="W48" s="90"/>
      <c r="X48" s="90" t="s">
        <v>237</v>
      </c>
      <c r="Y48" s="110"/>
      <c r="Z48" s="111" cm="1">
        <f t="array" ref="Z48:AK48">INDEX(L48:W48,COUNT(L48:W48))</f>
        <v>0</v>
      </c>
      <c r="AA48" s="110">
        <v>0</v>
      </c>
      <c r="AB48" s="110">
        <v>0</v>
      </c>
      <c r="AC48" s="110">
        <v>0</v>
      </c>
      <c r="AD48" s="110">
        <v>0</v>
      </c>
      <c r="AE48" s="110">
        <v>0</v>
      </c>
      <c r="AF48" s="110">
        <v>0</v>
      </c>
      <c r="AG48" s="110">
        <v>0</v>
      </c>
      <c r="AH48" s="110">
        <v>0</v>
      </c>
      <c r="AI48" s="110">
        <v>0</v>
      </c>
      <c r="AJ48" s="110">
        <v>0</v>
      </c>
      <c r="AK48" s="110">
        <v>0</v>
      </c>
      <c r="AL48" s="110"/>
    </row>
    <row r="49" spans="3:38" s="89" customFormat="1" x14ac:dyDescent="0.25">
      <c r="C49" s="90"/>
      <c r="D49" s="91"/>
      <c r="E49" s="90"/>
      <c r="F49" s="90"/>
      <c r="G49" s="90"/>
      <c r="H49" s="90">
        <f t="shared" si="6"/>
        <v>0</v>
      </c>
      <c r="I49" s="90">
        <f t="shared" si="1"/>
        <v>0</v>
      </c>
      <c r="J49" s="135" t="str">
        <f t="shared" si="2"/>
        <v/>
      </c>
      <c r="K49" s="109" t="str">
        <f t="shared" si="7"/>
        <v/>
      </c>
      <c r="L49" s="90"/>
      <c r="M49" s="90"/>
      <c r="N49" s="90"/>
      <c r="O49" s="90"/>
      <c r="P49" s="90"/>
      <c r="Q49" s="90"/>
      <c r="R49" s="90"/>
      <c r="S49" s="90"/>
      <c r="T49" s="90"/>
      <c r="U49" s="90"/>
      <c r="V49" s="90"/>
      <c r="W49" s="90"/>
      <c r="X49" s="90" t="s">
        <v>237</v>
      </c>
      <c r="Y49" s="110"/>
      <c r="Z49" s="111" cm="1">
        <f t="array" ref="Z49:AK49">INDEX(L49:W49,COUNT(L49:W49))</f>
        <v>0</v>
      </c>
      <c r="AA49" s="110">
        <v>0</v>
      </c>
      <c r="AB49" s="110">
        <v>0</v>
      </c>
      <c r="AC49" s="110">
        <v>0</v>
      </c>
      <c r="AD49" s="110">
        <v>0</v>
      </c>
      <c r="AE49" s="110">
        <v>0</v>
      </c>
      <c r="AF49" s="110">
        <v>0</v>
      </c>
      <c r="AG49" s="110">
        <v>0</v>
      </c>
      <c r="AH49" s="110">
        <v>0</v>
      </c>
      <c r="AI49" s="110">
        <v>0</v>
      </c>
      <c r="AJ49" s="110">
        <v>0</v>
      </c>
      <c r="AK49" s="110">
        <v>0</v>
      </c>
      <c r="AL49" s="110"/>
    </row>
    <row r="50" spans="3:38" s="89" customFormat="1" x14ac:dyDescent="0.25">
      <c r="C50" s="90"/>
      <c r="D50" s="91"/>
      <c r="E50" s="90"/>
      <c r="F50" s="90"/>
      <c r="G50" s="90"/>
      <c r="H50" s="90">
        <f t="shared" si="6"/>
        <v>0</v>
      </c>
      <c r="I50" s="90">
        <f t="shared" si="1"/>
        <v>0</v>
      </c>
      <c r="J50" s="135" t="str">
        <f t="shared" si="2"/>
        <v/>
      </c>
      <c r="K50" s="97"/>
      <c r="L50" s="90"/>
      <c r="M50" s="90"/>
      <c r="N50" s="90"/>
      <c r="O50" s="90"/>
      <c r="P50" s="90"/>
      <c r="Q50" s="90"/>
      <c r="R50" s="90"/>
      <c r="S50" s="90"/>
      <c r="T50" s="90"/>
      <c r="U50" s="90"/>
      <c r="V50" s="90"/>
      <c r="W50" s="90"/>
      <c r="X50" s="90" t="s">
        <v>237</v>
      </c>
    </row>
    <row r="51" spans="3:38" s="89" customFormat="1" x14ac:dyDescent="0.25">
      <c r="C51" s="90"/>
      <c r="D51" s="91"/>
      <c r="E51" s="90"/>
      <c r="F51" s="90"/>
      <c r="G51" s="90"/>
      <c r="H51" s="90">
        <f t="shared" si="6"/>
        <v>0</v>
      </c>
      <c r="I51" s="90">
        <f t="shared" si="1"/>
        <v>0</v>
      </c>
      <c r="J51" s="135" t="str">
        <f t="shared" si="2"/>
        <v/>
      </c>
      <c r="K51" s="109" t="str">
        <f>IF(L51="","",I51/Z51)</f>
        <v/>
      </c>
      <c r="L51" s="90"/>
      <c r="M51" s="90"/>
      <c r="N51" s="90"/>
      <c r="O51" s="90"/>
      <c r="P51" s="90"/>
      <c r="Q51" s="90"/>
      <c r="R51" s="90"/>
      <c r="S51" s="90"/>
      <c r="T51" s="90"/>
      <c r="U51" s="90"/>
      <c r="V51" s="90"/>
      <c r="W51" s="90"/>
      <c r="X51" s="90" t="s">
        <v>237</v>
      </c>
      <c r="Y51" s="110"/>
      <c r="Z51" s="111" cm="1">
        <f t="array" ref="Z51:AK51">INDEX(L51:W51,COUNT(L51:W51))</f>
        <v>0</v>
      </c>
      <c r="AA51" s="110">
        <v>0</v>
      </c>
      <c r="AB51" s="110">
        <v>0</v>
      </c>
      <c r="AC51" s="110">
        <v>0</v>
      </c>
      <c r="AD51" s="110">
        <v>0</v>
      </c>
      <c r="AE51" s="110">
        <v>0</v>
      </c>
      <c r="AF51" s="110">
        <v>0</v>
      </c>
      <c r="AG51" s="110">
        <v>0</v>
      </c>
      <c r="AH51" s="110">
        <v>0</v>
      </c>
      <c r="AI51" s="110">
        <v>0</v>
      </c>
      <c r="AJ51" s="110">
        <v>0</v>
      </c>
      <c r="AK51" s="110">
        <v>0</v>
      </c>
      <c r="AL51" s="110"/>
    </row>
    <row r="52" spans="3:38" s="89" customFormat="1" x14ac:dyDescent="0.25">
      <c r="C52" s="90"/>
      <c r="D52" s="91"/>
      <c r="E52" s="90"/>
      <c r="F52" s="90"/>
      <c r="G52" s="90"/>
      <c r="H52" s="90">
        <f t="shared" si="6"/>
        <v>0</v>
      </c>
      <c r="I52" s="90">
        <f t="shared" si="1"/>
        <v>0</v>
      </c>
      <c r="J52" s="135" t="str">
        <f t="shared" si="2"/>
        <v/>
      </c>
      <c r="K52" s="97"/>
      <c r="L52" s="90"/>
      <c r="M52" s="90"/>
      <c r="N52" s="90"/>
      <c r="O52" s="90"/>
      <c r="P52" s="90"/>
      <c r="Q52" s="90"/>
      <c r="R52" s="90"/>
      <c r="S52" s="90"/>
      <c r="T52" s="90"/>
      <c r="U52" s="90"/>
      <c r="V52" s="90"/>
      <c r="W52" s="90"/>
      <c r="X52" s="90" t="s">
        <v>237</v>
      </c>
    </row>
    <row r="53" spans="3:38" s="89" customFormat="1" x14ac:dyDescent="0.25">
      <c r="C53" s="92"/>
      <c r="D53" s="91"/>
      <c r="E53" s="90"/>
      <c r="F53" s="90"/>
      <c r="G53" s="90"/>
      <c r="H53" s="90">
        <f t="shared" si="6"/>
        <v>0</v>
      </c>
      <c r="I53" s="90">
        <f t="shared" si="1"/>
        <v>0</v>
      </c>
      <c r="J53" s="135" t="str">
        <f t="shared" si="2"/>
        <v/>
      </c>
      <c r="K53" s="109" t="str">
        <f t="shared" ref="K53:K55" si="8">IF(L53="","",I53/Z53)</f>
        <v/>
      </c>
      <c r="L53" s="90"/>
      <c r="M53" s="90"/>
      <c r="N53" s="90"/>
      <c r="O53" s="90"/>
      <c r="P53" s="90"/>
      <c r="Q53" s="90"/>
      <c r="R53" s="90"/>
      <c r="S53" s="90"/>
      <c r="T53" s="90"/>
      <c r="U53" s="90"/>
      <c r="V53" s="90"/>
      <c r="W53" s="90"/>
      <c r="X53" s="90" t="s">
        <v>237</v>
      </c>
      <c r="Y53" s="110"/>
      <c r="Z53" s="111" cm="1">
        <f t="array" ref="Z53:AK53">INDEX(L53:W53,COUNT(L53:W53))</f>
        <v>0</v>
      </c>
      <c r="AA53" s="110">
        <v>0</v>
      </c>
      <c r="AB53" s="110">
        <v>0</v>
      </c>
      <c r="AC53" s="110">
        <v>0</v>
      </c>
      <c r="AD53" s="110">
        <v>0</v>
      </c>
      <c r="AE53" s="110">
        <v>0</v>
      </c>
      <c r="AF53" s="110">
        <v>0</v>
      </c>
      <c r="AG53" s="110">
        <v>0</v>
      </c>
      <c r="AH53" s="110">
        <v>0</v>
      </c>
      <c r="AI53" s="110">
        <v>0</v>
      </c>
      <c r="AJ53" s="110">
        <v>0</v>
      </c>
      <c r="AK53" s="110">
        <v>0</v>
      </c>
      <c r="AL53" s="110"/>
    </row>
    <row r="54" spans="3:38" s="89" customFormat="1" x14ac:dyDescent="0.25">
      <c r="C54" s="90"/>
      <c r="D54" s="91"/>
      <c r="E54" s="90"/>
      <c r="F54" s="90"/>
      <c r="G54" s="90"/>
      <c r="H54" s="90">
        <f t="shared" si="6"/>
        <v>0</v>
      </c>
      <c r="I54" s="90">
        <f t="shared" si="1"/>
        <v>0</v>
      </c>
      <c r="J54" s="135" t="str">
        <f t="shared" si="2"/>
        <v/>
      </c>
      <c r="K54" s="109" t="str">
        <f t="shared" si="8"/>
        <v/>
      </c>
      <c r="L54" s="90"/>
      <c r="M54" s="90"/>
      <c r="N54" s="90"/>
      <c r="O54" s="90"/>
      <c r="P54" s="90"/>
      <c r="Q54" s="90"/>
      <c r="R54" s="90"/>
      <c r="S54" s="90"/>
      <c r="T54" s="90"/>
      <c r="U54" s="90"/>
      <c r="V54" s="90"/>
      <c r="W54" s="90"/>
      <c r="X54" s="90" t="s">
        <v>237</v>
      </c>
      <c r="Y54" s="110"/>
      <c r="Z54" s="111" cm="1">
        <f t="array" ref="Z54:AK54">INDEX(L54:W54,COUNT(L54:W54))</f>
        <v>0</v>
      </c>
      <c r="AA54" s="110">
        <v>0</v>
      </c>
      <c r="AB54" s="110">
        <v>0</v>
      </c>
      <c r="AC54" s="110">
        <v>0</v>
      </c>
      <c r="AD54" s="110">
        <v>0</v>
      </c>
      <c r="AE54" s="110">
        <v>0</v>
      </c>
      <c r="AF54" s="110">
        <v>0</v>
      </c>
      <c r="AG54" s="110">
        <v>0</v>
      </c>
      <c r="AH54" s="110">
        <v>0</v>
      </c>
      <c r="AI54" s="110">
        <v>0</v>
      </c>
      <c r="AJ54" s="110">
        <v>0</v>
      </c>
      <c r="AK54" s="110">
        <v>0</v>
      </c>
      <c r="AL54" s="110"/>
    </row>
    <row r="55" spans="3:38" s="89" customFormat="1" x14ac:dyDescent="0.25">
      <c r="C55" s="90"/>
      <c r="D55" s="91"/>
      <c r="E55" s="90"/>
      <c r="F55" s="90"/>
      <c r="G55" s="90"/>
      <c r="H55" s="90">
        <f t="shared" si="6"/>
        <v>0</v>
      </c>
      <c r="I55" s="90">
        <f t="shared" si="1"/>
        <v>0</v>
      </c>
      <c r="J55" s="135" t="str">
        <f t="shared" si="2"/>
        <v/>
      </c>
      <c r="K55" s="109" t="str">
        <f t="shared" si="8"/>
        <v/>
      </c>
      <c r="L55" s="90"/>
      <c r="M55" s="90"/>
      <c r="N55" s="90"/>
      <c r="O55" s="90"/>
      <c r="P55" s="90"/>
      <c r="Q55" s="90"/>
      <c r="R55" s="90"/>
      <c r="S55" s="90"/>
      <c r="T55" s="90"/>
      <c r="U55" s="90"/>
      <c r="V55" s="90"/>
      <c r="W55" s="90"/>
      <c r="X55" s="90" t="s">
        <v>237</v>
      </c>
      <c r="Y55" s="110"/>
      <c r="Z55" s="111" cm="1">
        <f t="array" ref="Z55:AK55">INDEX(L55:W55,COUNT(L55:W55))</f>
        <v>0</v>
      </c>
      <c r="AA55" s="110">
        <v>0</v>
      </c>
      <c r="AB55" s="110">
        <v>0</v>
      </c>
      <c r="AC55" s="110">
        <v>0</v>
      </c>
      <c r="AD55" s="110">
        <v>0</v>
      </c>
      <c r="AE55" s="110">
        <v>0</v>
      </c>
      <c r="AF55" s="110">
        <v>0</v>
      </c>
      <c r="AG55" s="110">
        <v>0</v>
      </c>
      <c r="AH55" s="110">
        <v>0</v>
      </c>
      <c r="AI55" s="110">
        <v>0</v>
      </c>
      <c r="AJ55" s="110">
        <v>0</v>
      </c>
      <c r="AK55" s="110">
        <v>0</v>
      </c>
      <c r="AL55" s="110"/>
    </row>
    <row r="56" spans="3:38" s="89" customFormat="1" x14ac:dyDescent="0.25">
      <c r="C56" s="90"/>
      <c r="D56" s="91"/>
      <c r="E56" s="90"/>
      <c r="F56" s="90"/>
      <c r="G56" s="90"/>
      <c r="H56" s="90">
        <f t="shared" si="6"/>
        <v>0</v>
      </c>
      <c r="I56" s="90">
        <f t="shared" si="1"/>
        <v>0</v>
      </c>
      <c r="J56" s="135" t="str">
        <f t="shared" si="2"/>
        <v/>
      </c>
      <c r="K56" s="97"/>
      <c r="L56" s="90"/>
      <c r="M56" s="90"/>
      <c r="N56" s="90"/>
      <c r="O56" s="90"/>
      <c r="P56" s="90"/>
      <c r="Q56" s="90"/>
      <c r="R56" s="90"/>
      <c r="S56" s="90"/>
      <c r="T56" s="90"/>
      <c r="U56" s="90"/>
      <c r="V56" s="90"/>
      <c r="W56" s="90"/>
      <c r="X56" s="90" t="s">
        <v>237</v>
      </c>
    </row>
    <row r="57" spans="3:38" s="89" customFormat="1" x14ac:dyDescent="0.25">
      <c r="C57" s="90"/>
      <c r="D57" s="91"/>
      <c r="E57" s="90"/>
      <c r="F57" s="90"/>
      <c r="G57" s="90"/>
      <c r="H57" s="90">
        <f t="shared" si="6"/>
        <v>0</v>
      </c>
      <c r="I57" s="90">
        <f t="shared" si="1"/>
        <v>0</v>
      </c>
      <c r="J57" s="135" t="str">
        <f t="shared" si="2"/>
        <v/>
      </c>
      <c r="K57" s="109" t="str">
        <f t="shared" ref="K57:K62" si="9">IF(L57="","",I57/Z57)</f>
        <v/>
      </c>
      <c r="L57" s="90"/>
      <c r="M57" s="90"/>
      <c r="N57" s="90"/>
      <c r="O57" s="90"/>
      <c r="P57" s="90"/>
      <c r="Q57" s="90"/>
      <c r="R57" s="90"/>
      <c r="S57" s="90"/>
      <c r="T57" s="90"/>
      <c r="U57" s="90"/>
      <c r="V57" s="90"/>
      <c r="W57" s="90"/>
      <c r="X57" s="90" t="s">
        <v>237</v>
      </c>
      <c r="Y57" s="110"/>
      <c r="Z57" s="111" cm="1">
        <f t="array" ref="Z57:AK57">INDEX(L57:W57,COUNT(L57:W57))</f>
        <v>0</v>
      </c>
      <c r="AA57" s="110">
        <v>0</v>
      </c>
      <c r="AB57" s="110">
        <v>0</v>
      </c>
      <c r="AC57" s="110">
        <v>0</v>
      </c>
      <c r="AD57" s="110">
        <v>0</v>
      </c>
      <c r="AE57" s="110">
        <v>0</v>
      </c>
      <c r="AF57" s="110">
        <v>0</v>
      </c>
      <c r="AG57" s="110">
        <v>0</v>
      </c>
      <c r="AH57" s="110">
        <v>0</v>
      </c>
      <c r="AI57" s="110">
        <v>0</v>
      </c>
      <c r="AJ57" s="110">
        <v>0</v>
      </c>
      <c r="AK57" s="110">
        <v>0</v>
      </c>
      <c r="AL57" s="110"/>
    </row>
    <row r="58" spans="3:38" s="89" customFormat="1" x14ac:dyDescent="0.25">
      <c r="C58" s="90"/>
      <c r="D58" s="91"/>
      <c r="E58" s="90"/>
      <c r="F58" s="90"/>
      <c r="G58" s="90"/>
      <c r="H58" s="90">
        <f t="shared" si="6"/>
        <v>0</v>
      </c>
      <c r="I58" s="90">
        <f t="shared" si="1"/>
        <v>0</v>
      </c>
      <c r="J58" s="135" t="str">
        <f t="shared" si="2"/>
        <v/>
      </c>
      <c r="K58" s="109" t="str">
        <f t="shared" si="9"/>
        <v/>
      </c>
      <c r="L58" s="90"/>
      <c r="M58" s="90"/>
      <c r="N58" s="90"/>
      <c r="O58" s="90"/>
      <c r="P58" s="90"/>
      <c r="Q58" s="90"/>
      <c r="R58" s="90"/>
      <c r="S58" s="90"/>
      <c r="T58" s="90"/>
      <c r="U58" s="90"/>
      <c r="V58" s="90"/>
      <c r="W58" s="90"/>
      <c r="X58" s="90" t="s">
        <v>237</v>
      </c>
      <c r="Y58" s="110"/>
      <c r="Z58" s="111" cm="1">
        <f t="array" ref="Z58:AK58">INDEX(L58:W58,COUNT(L58:W58))</f>
        <v>0</v>
      </c>
      <c r="AA58" s="110">
        <v>0</v>
      </c>
      <c r="AB58" s="110">
        <v>0</v>
      </c>
      <c r="AC58" s="110">
        <v>0</v>
      </c>
      <c r="AD58" s="110">
        <v>0</v>
      </c>
      <c r="AE58" s="110">
        <v>0</v>
      </c>
      <c r="AF58" s="110">
        <v>0</v>
      </c>
      <c r="AG58" s="110">
        <v>0</v>
      </c>
      <c r="AH58" s="110">
        <v>0</v>
      </c>
      <c r="AI58" s="110">
        <v>0</v>
      </c>
      <c r="AJ58" s="110">
        <v>0</v>
      </c>
      <c r="AK58" s="110">
        <v>0</v>
      </c>
      <c r="AL58" s="110"/>
    </row>
    <row r="59" spans="3:38" s="89" customFormat="1" x14ac:dyDescent="0.25">
      <c r="C59" s="90"/>
      <c r="D59" s="91"/>
      <c r="E59" s="90"/>
      <c r="F59" s="90"/>
      <c r="G59" s="90"/>
      <c r="H59" s="90">
        <f t="shared" si="6"/>
        <v>0</v>
      </c>
      <c r="I59" s="90">
        <f t="shared" si="1"/>
        <v>0</v>
      </c>
      <c r="J59" s="135" t="str">
        <f t="shared" si="2"/>
        <v/>
      </c>
      <c r="K59" s="109" t="str">
        <f t="shared" si="9"/>
        <v/>
      </c>
      <c r="L59" s="90"/>
      <c r="M59" s="90"/>
      <c r="N59" s="90"/>
      <c r="O59" s="90"/>
      <c r="P59" s="90"/>
      <c r="Q59" s="90"/>
      <c r="R59" s="90"/>
      <c r="S59" s="90"/>
      <c r="T59" s="90"/>
      <c r="U59" s="90"/>
      <c r="V59" s="90"/>
      <c r="W59" s="90"/>
      <c r="X59" s="90" t="s">
        <v>237</v>
      </c>
      <c r="Y59" s="110"/>
      <c r="Z59" s="111" cm="1">
        <f t="array" ref="Z59:AK59">INDEX(L59:W59,COUNT(L59:W59))</f>
        <v>0</v>
      </c>
      <c r="AA59" s="110">
        <v>0</v>
      </c>
      <c r="AB59" s="110">
        <v>0</v>
      </c>
      <c r="AC59" s="110">
        <v>0</v>
      </c>
      <c r="AD59" s="110">
        <v>0</v>
      </c>
      <c r="AE59" s="110">
        <v>0</v>
      </c>
      <c r="AF59" s="110">
        <v>0</v>
      </c>
      <c r="AG59" s="110">
        <v>0</v>
      </c>
      <c r="AH59" s="110">
        <v>0</v>
      </c>
      <c r="AI59" s="110">
        <v>0</v>
      </c>
      <c r="AJ59" s="110">
        <v>0</v>
      </c>
      <c r="AK59" s="110">
        <v>0</v>
      </c>
      <c r="AL59" s="110"/>
    </row>
    <row r="60" spans="3:38" s="89" customFormat="1" x14ac:dyDescent="0.25">
      <c r="C60" s="90"/>
      <c r="D60" s="91"/>
      <c r="E60" s="90"/>
      <c r="F60" s="90"/>
      <c r="G60" s="90"/>
      <c r="H60" s="90">
        <f t="shared" si="6"/>
        <v>0</v>
      </c>
      <c r="I60" s="90">
        <f t="shared" si="1"/>
        <v>0</v>
      </c>
      <c r="J60" s="135" t="str">
        <f t="shared" si="2"/>
        <v/>
      </c>
      <c r="K60" s="109" t="str">
        <f t="shared" si="9"/>
        <v/>
      </c>
      <c r="L60" s="90"/>
      <c r="M60" s="90"/>
      <c r="N60" s="90"/>
      <c r="O60" s="90"/>
      <c r="P60" s="90"/>
      <c r="Q60" s="90"/>
      <c r="R60" s="90"/>
      <c r="S60" s="90"/>
      <c r="T60" s="90"/>
      <c r="U60" s="90"/>
      <c r="V60" s="90"/>
      <c r="W60" s="90"/>
      <c r="X60" s="90" t="s">
        <v>237</v>
      </c>
      <c r="Y60" s="110"/>
      <c r="Z60" s="111" cm="1">
        <f t="array" ref="Z60:AK60">INDEX(L60:W60,COUNT(L60:W60))</f>
        <v>0</v>
      </c>
      <c r="AA60" s="110">
        <v>0</v>
      </c>
      <c r="AB60" s="110">
        <v>0</v>
      </c>
      <c r="AC60" s="110">
        <v>0</v>
      </c>
      <c r="AD60" s="110">
        <v>0</v>
      </c>
      <c r="AE60" s="110">
        <v>0</v>
      </c>
      <c r="AF60" s="110">
        <v>0</v>
      </c>
      <c r="AG60" s="110">
        <v>0</v>
      </c>
      <c r="AH60" s="110">
        <v>0</v>
      </c>
      <c r="AI60" s="110">
        <v>0</v>
      </c>
      <c r="AJ60" s="110">
        <v>0</v>
      </c>
      <c r="AK60" s="110">
        <v>0</v>
      </c>
      <c r="AL60" s="110"/>
    </row>
    <row r="61" spans="3:38" s="89" customFormat="1" x14ac:dyDescent="0.25">
      <c r="C61" s="90"/>
      <c r="D61" s="91"/>
      <c r="E61" s="90"/>
      <c r="F61" s="90"/>
      <c r="G61" s="90"/>
      <c r="H61" s="90">
        <f t="shared" si="6"/>
        <v>0</v>
      </c>
      <c r="I61" s="90">
        <f t="shared" si="1"/>
        <v>0</v>
      </c>
      <c r="J61" s="135" t="str">
        <f t="shared" si="2"/>
        <v/>
      </c>
      <c r="K61" s="109" t="str">
        <f t="shared" si="9"/>
        <v/>
      </c>
      <c r="L61" s="90"/>
      <c r="M61" s="90"/>
      <c r="N61" s="90"/>
      <c r="O61" s="90"/>
      <c r="P61" s="90"/>
      <c r="Q61" s="90"/>
      <c r="R61" s="90"/>
      <c r="S61" s="90"/>
      <c r="T61" s="90"/>
      <c r="U61" s="90"/>
      <c r="V61" s="90"/>
      <c r="W61" s="90"/>
      <c r="X61" s="90" t="s">
        <v>237</v>
      </c>
      <c r="Y61" s="110"/>
      <c r="Z61" s="111" cm="1">
        <f t="array" ref="Z61:AK61">INDEX(L61:W61,COUNT(L61:W61))</f>
        <v>0</v>
      </c>
      <c r="AA61" s="110">
        <v>0</v>
      </c>
      <c r="AB61" s="110">
        <v>0</v>
      </c>
      <c r="AC61" s="110">
        <v>0</v>
      </c>
      <c r="AD61" s="110">
        <v>0</v>
      </c>
      <c r="AE61" s="110">
        <v>0</v>
      </c>
      <c r="AF61" s="110">
        <v>0</v>
      </c>
      <c r="AG61" s="110">
        <v>0</v>
      </c>
      <c r="AH61" s="110">
        <v>0</v>
      </c>
      <c r="AI61" s="110">
        <v>0</v>
      </c>
      <c r="AJ61" s="110">
        <v>0</v>
      </c>
      <c r="AK61" s="110">
        <v>0</v>
      </c>
      <c r="AL61" s="110"/>
    </row>
    <row r="62" spans="3:38" s="89" customFormat="1" x14ac:dyDescent="0.25">
      <c r="C62" s="90"/>
      <c r="D62" s="91"/>
      <c r="E62" s="90"/>
      <c r="F62" s="90"/>
      <c r="G62" s="90"/>
      <c r="H62" s="90">
        <f t="shared" si="6"/>
        <v>0</v>
      </c>
      <c r="I62" s="90">
        <f t="shared" si="1"/>
        <v>0</v>
      </c>
      <c r="J62" s="135" t="str">
        <f t="shared" si="2"/>
        <v/>
      </c>
      <c r="K62" s="109" t="str">
        <f t="shared" si="9"/>
        <v/>
      </c>
      <c r="L62" s="90"/>
      <c r="M62" s="90"/>
      <c r="N62" s="90"/>
      <c r="O62" s="90"/>
      <c r="P62" s="90"/>
      <c r="Q62" s="90"/>
      <c r="R62" s="90"/>
      <c r="S62" s="90"/>
      <c r="T62" s="90"/>
      <c r="U62" s="90"/>
      <c r="V62" s="90"/>
      <c r="W62" s="90"/>
      <c r="X62" s="90" t="s">
        <v>237</v>
      </c>
      <c r="Y62" s="110"/>
      <c r="Z62" s="111" cm="1">
        <f t="array" ref="Z62:AK62">INDEX(L62:W62,COUNT(L62:W62))</f>
        <v>0</v>
      </c>
      <c r="AA62" s="110">
        <v>0</v>
      </c>
      <c r="AB62" s="110">
        <v>0</v>
      </c>
      <c r="AC62" s="110">
        <v>0</v>
      </c>
      <c r="AD62" s="110">
        <v>0</v>
      </c>
      <c r="AE62" s="110">
        <v>0</v>
      </c>
      <c r="AF62" s="110">
        <v>0</v>
      </c>
      <c r="AG62" s="110">
        <v>0</v>
      </c>
      <c r="AH62" s="110">
        <v>0</v>
      </c>
      <c r="AI62" s="110">
        <v>0</v>
      </c>
      <c r="AJ62" s="110">
        <v>0</v>
      </c>
      <c r="AK62" s="110">
        <v>0</v>
      </c>
      <c r="AL62" s="110"/>
    </row>
    <row r="63" spans="3:38" s="89" customFormat="1" x14ac:dyDescent="0.25">
      <c r="C63" s="90"/>
      <c r="D63" s="91"/>
      <c r="E63" s="90"/>
      <c r="F63" s="90"/>
      <c r="G63" s="90"/>
      <c r="H63" s="90">
        <f t="shared" si="6"/>
        <v>0</v>
      </c>
      <c r="I63" s="90">
        <f t="shared" si="1"/>
        <v>0</v>
      </c>
      <c r="J63" s="135" t="str">
        <f t="shared" si="2"/>
        <v/>
      </c>
      <c r="K63" s="97"/>
      <c r="L63" s="90"/>
      <c r="M63" s="90"/>
      <c r="N63" s="90"/>
      <c r="O63" s="90"/>
      <c r="P63" s="90"/>
      <c r="Q63" s="90"/>
      <c r="R63" s="90"/>
      <c r="S63" s="90"/>
      <c r="T63" s="90"/>
      <c r="U63" s="90"/>
      <c r="V63" s="90"/>
      <c r="W63" s="90"/>
      <c r="X63" s="90" t="s">
        <v>237</v>
      </c>
    </row>
    <row r="64" spans="3:38" s="89" customFormat="1" x14ac:dyDescent="0.25">
      <c r="C64" s="90"/>
      <c r="D64" s="91"/>
      <c r="E64" s="90"/>
      <c r="F64" s="90"/>
      <c r="G64" s="90"/>
      <c r="H64" s="90">
        <f t="shared" si="6"/>
        <v>0</v>
      </c>
      <c r="I64" s="90">
        <f t="shared" si="1"/>
        <v>0</v>
      </c>
      <c r="J64" s="135" t="str">
        <f t="shared" si="2"/>
        <v/>
      </c>
      <c r="K64" s="109" t="str">
        <f>IF(L64="","",I64/Z64)</f>
        <v/>
      </c>
      <c r="L64" s="90"/>
      <c r="M64" s="90"/>
      <c r="N64" s="90"/>
      <c r="O64" s="90"/>
      <c r="P64" s="90"/>
      <c r="Q64" s="90"/>
      <c r="R64" s="90"/>
      <c r="S64" s="90"/>
      <c r="T64" s="90"/>
      <c r="U64" s="90"/>
      <c r="V64" s="90"/>
      <c r="W64" s="90"/>
      <c r="X64" s="90" t="s">
        <v>237</v>
      </c>
      <c r="Y64" s="110"/>
      <c r="Z64" s="111" cm="1">
        <f t="array" ref="Z64:AK64">INDEX(L64:W64,COUNT(L64:W64))</f>
        <v>0</v>
      </c>
      <c r="AA64" s="110">
        <v>0</v>
      </c>
      <c r="AB64" s="110">
        <v>0</v>
      </c>
      <c r="AC64" s="110">
        <v>0</v>
      </c>
      <c r="AD64" s="110">
        <v>0</v>
      </c>
      <c r="AE64" s="110">
        <v>0</v>
      </c>
      <c r="AF64" s="110">
        <v>0</v>
      </c>
      <c r="AG64" s="110">
        <v>0</v>
      </c>
      <c r="AH64" s="110">
        <v>0</v>
      </c>
      <c r="AI64" s="110">
        <v>0</v>
      </c>
      <c r="AJ64" s="110">
        <v>0</v>
      </c>
      <c r="AK64" s="110">
        <v>0</v>
      </c>
      <c r="AL64" s="110"/>
    </row>
    <row r="65" spans="3:38" s="89" customFormat="1" x14ac:dyDescent="0.25">
      <c r="C65" s="90"/>
      <c r="D65" s="91"/>
      <c r="E65" s="90"/>
      <c r="F65" s="90"/>
      <c r="G65" s="90"/>
      <c r="H65" s="90">
        <f t="shared" si="6"/>
        <v>0</v>
      </c>
      <c r="I65" s="90">
        <f t="shared" si="1"/>
        <v>0</v>
      </c>
      <c r="J65" s="135" t="str">
        <f t="shared" si="2"/>
        <v/>
      </c>
      <c r="K65" s="97"/>
      <c r="L65" s="90"/>
      <c r="M65" s="90"/>
      <c r="N65" s="90"/>
      <c r="O65" s="90"/>
      <c r="P65" s="90"/>
      <c r="Q65" s="90"/>
      <c r="R65" s="90"/>
      <c r="S65" s="90"/>
      <c r="T65" s="90"/>
      <c r="U65" s="90"/>
      <c r="V65" s="90"/>
      <c r="W65" s="90"/>
      <c r="X65" s="90" t="s">
        <v>237</v>
      </c>
    </row>
    <row r="66" spans="3:38" s="89" customFormat="1" x14ac:dyDescent="0.25">
      <c r="C66" s="90"/>
      <c r="D66" s="91"/>
      <c r="E66" s="90"/>
      <c r="F66" s="90"/>
      <c r="G66" s="90"/>
      <c r="H66" s="90">
        <f t="shared" si="6"/>
        <v>0</v>
      </c>
      <c r="I66" s="90">
        <f t="shared" si="1"/>
        <v>0</v>
      </c>
      <c r="J66" s="135" t="str">
        <f t="shared" si="2"/>
        <v/>
      </c>
      <c r="K66" s="109" t="str">
        <f>IF(L66="","",I66/Z66)</f>
        <v/>
      </c>
      <c r="L66" s="90"/>
      <c r="M66" s="90"/>
      <c r="N66" s="90"/>
      <c r="O66" s="90"/>
      <c r="P66" s="90"/>
      <c r="Q66" s="90"/>
      <c r="R66" s="90"/>
      <c r="S66" s="90"/>
      <c r="T66" s="90"/>
      <c r="U66" s="90"/>
      <c r="V66" s="90"/>
      <c r="W66" s="90"/>
      <c r="X66" s="90" t="s">
        <v>237</v>
      </c>
      <c r="Y66" s="110"/>
      <c r="Z66" s="111" cm="1">
        <f t="array" ref="Z66:AK66">INDEX(L66:W66,COUNT(L66:W66))</f>
        <v>0</v>
      </c>
      <c r="AA66" s="110">
        <v>0</v>
      </c>
      <c r="AB66" s="110">
        <v>0</v>
      </c>
      <c r="AC66" s="110">
        <v>0</v>
      </c>
      <c r="AD66" s="110">
        <v>0</v>
      </c>
      <c r="AE66" s="110">
        <v>0</v>
      </c>
      <c r="AF66" s="110">
        <v>0</v>
      </c>
      <c r="AG66" s="110">
        <v>0</v>
      </c>
      <c r="AH66" s="110">
        <v>0</v>
      </c>
      <c r="AI66" s="110">
        <v>0</v>
      </c>
      <c r="AJ66" s="110">
        <v>0</v>
      </c>
      <c r="AK66" s="110">
        <v>0</v>
      </c>
      <c r="AL66" s="110"/>
    </row>
    <row r="67" spans="3:38" s="89" customFormat="1" x14ac:dyDescent="0.25">
      <c r="C67" s="90"/>
      <c r="D67" s="91"/>
      <c r="E67" s="90"/>
      <c r="F67" s="90"/>
      <c r="G67" s="90"/>
      <c r="H67" s="90">
        <f t="shared" si="6"/>
        <v>0</v>
      </c>
      <c r="I67" s="90">
        <f t="shared" si="1"/>
        <v>0</v>
      </c>
      <c r="J67" s="135" t="str">
        <f t="shared" si="2"/>
        <v/>
      </c>
      <c r="K67" s="97"/>
      <c r="L67" s="90"/>
      <c r="M67" s="90"/>
      <c r="N67" s="90"/>
      <c r="O67" s="90"/>
      <c r="P67" s="90"/>
      <c r="Q67" s="90"/>
      <c r="R67" s="90"/>
      <c r="S67" s="90"/>
      <c r="T67" s="90"/>
      <c r="U67" s="90"/>
      <c r="V67" s="90"/>
      <c r="W67" s="90"/>
      <c r="X67" s="90" t="s">
        <v>237</v>
      </c>
    </row>
    <row r="68" spans="3:38" s="89" customFormat="1" x14ac:dyDescent="0.25">
      <c r="C68" s="90"/>
      <c r="D68" s="91"/>
      <c r="E68" s="90"/>
      <c r="F68" s="90"/>
      <c r="G68" s="90"/>
      <c r="H68" s="90">
        <f t="shared" si="6"/>
        <v>0</v>
      </c>
      <c r="I68" s="90">
        <f t="shared" si="1"/>
        <v>0</v>
      </c>
      <c r="J68" s="135" t="str">
        <f t="shared" si="2"/>
        <v/>
      </c>
      <c r="K68" s="109" t="str">
        <f>IF(L68="","",I68/Z68)</f>
        <v/>
      </c>
      <c r="L68" s="90"/>
      <c r="M68" s="90"/>
      <c r="N68" s="90"/>
      <c r="O68" s="90"/>
      <c r="P68" s="90"/>
      <c r="Q68" s="90"/>
      <c r="R68" s="90"/>
      <c r="S68" s="90"/>
      <c r="T68" s="90"/>
      <c r="U68" s="90"/>
      <c r="V68" s="90"/>
      <c r="W68" s="90"/>
      <c r="X68" s="90" t="s">
        <v>237</v>
      </c>
      <c r="Y68" s="110"/>
      <c r="Z68" s="111" cm="1">
        <f t="array" ref="Z68:AK68">INDEX(L68:W68,COUNT(L68:W68))</f>
        <v>0</v>
      </c>
      <c r="AA68" s="110">
        <v>0</v>
      </c>
      <c r="AB68" s="110">
        <v>0</v>
      </c>
      <c r="AC68" s="110">
        <v>0</v>
      </c>
      <c r="AD68" s="110">
        <v>0</v>
      </c>
      <c r="AE68" s="110">
        <v>0</v>
      </c>
      <c r="AF68" s="110">
        <v>0</v>
      </c>
      <c r="AG68" s="110">
        <v>0</v>
      </c>
      <c r="AH68" s="110">
        <v>0</v>
      </c>
      <c r="AI68" s="110">
        <v>0</v>
      </c>
      <c r="AJ68" s="110">
        <v>0</v>
      </c>
      <c r="AK68" s="110">
        <v>0</v>
      </c>
      <c r="AL68" s="110"/>
    </row>
    <row r="69" spans="3:38" s="89" customFormat="1" x14ac:dyDescent="0.25">
      <c r="C69" s="90"/>
      <c r="D69" s="91"/>
      <c r="E69" s="90"/>
      <c r="F69" s="90"/>
      <c r="G69" s="90"/>
      <c r="H69" s="90">
        <f t="shared" si="6"/>
        <v>0</v>
      </c>
      <c r="I69" s="90">
        <f t="shared" si="1"/>
        <v>0</v>
      </c>
      <c r="J69" s="135" t="str">
        <f t="shared" si="2"/>
        <v/>
      </c>
      <c r="K69" s="97"/>
      <c r="L69" s="90"/>
      <c r="M69" s="90"/>
      <c r="N69" s="90"/>
      <c r="O69" s="90"/>
      <c r="P69" s="90"/>
      <c r="Q69" s="90"/>
      <c r="R69" s="90"/>
      <c r="S69" s="90"/>
      <c r="T69" s="90"/>
      <c r="U69" s="90"/>
      <c r="V69" s="90"/>
      <c r="W69" s="90"/>
      <c r="X69" s="90" t="s">
        <v>237</v>
      </c>
    </row>
    <row r="70" spans="3:38" s="89" customFormat="1" x14ac:dyDescent="0.25">
      <c r="C70" s="90"/>
      <c r="D70" s="91"/>
      <c r="E70" s="90"/>
      <c r="F70" s="90"/>
      <c r="G70" s="90"/>
      <c r="H70" s="90">
        <f t="shared" si="6"/>
        <v>0</v>
      </c>
      <c r="I70" s="90">
        <f t="shared" si="1"/>
        <v>0</v>
      </c>
      <c r="J70" s="135" t="str">
        <f t="shared" si="2"/>
        <v/>
      </c>
      <c r="K70" s="109" t="str">
        <f>IF(L70="","",I70/Z70)</f>
        <v/>
      </c>
      <c r="L70" s="90"/>
      <c r="M70" s="90"/>
      <c r="N70" s="90"/>
      <c r="O70" s="90"/>
      <c r="P70" s="90"/>
      <c r="Q70" s="90"/>
      <c r="R70" s="90"/>
      <c r="S70" s="90"/>
      <c r="T70" s="90"/>
      <c r="U70" s="90"/>
      <c r="V70" s="90"/>
      <c r="W70" s="90"/>
      <c r="X70" s="90" t="s">
        <v>237</v>
      </c>
      <c r="Y70" s="110"/>
      <c r="Z70" s="111" cm="1">
        <f t="array" ref="Z70:AK70">INDEX(L70:W70,COUNT(L70:W70))</f>
        <v>0</v>
      </c>
      <c r="AA70" s="110">
        <v>0</v>
      </c>
      <c r="AB70" s="110">
        <v>0</v>
      </c>
      <c r="AC70" s="110">
        <v>0</v>
      </c>
      <c r="AD70" s="110">
        <v>0</v>
      </c>
      <c r="AE70" s="110">
        <v>0</v>
      </c>
      <c r="AF70" s="110">
        <v>0</v>
      </c>
      <c r="AG70" s="110">
        <v>0</v>
      </c>
      <c r="AH70" s="110">
        <v>0</v>
      </c>
      <c r="AI70" s="110">
        <v>0</v>
      </c>
      <c r="AJ70" s="110">
        <v>0</v>
      </c>
      <c r="AK70" s="110">
        <v>0</v>
      </c>
      <c r="AL70" s="110"/>
    </row>
    <row r="71" spans="3:38" s="89" customFormat="1" x14ac:dyDescent="0.25">
      <c r="C71" s="90"/>
      <c r="D71" s="91"/>
      <c r="E71" s="90"/>
      <c r="F71" s="90"/>
      <c r="G71" s="90"/>
      <c r="H71" s="90">
        <f t="shared" si="6"/>
        <v>0</v>
      </c>
      <c r="I71" s="90">
        <f t="shared" si="1"/>
        <v>0</v>
      </c>
      <c r="J71" s="135" t="str">
        <f t="shared" si="2"/>
        <v/>
      </c>
      <c r="K71" s="97"/>
      <c r="L71" s="90"/>
      <c r="M71" s="90"/>
      <c r="N71" s="90"/>
      <c r="O71" s="90"/>
      <c r="P71" s="90"/>
      <c r="Q71" s="90"/>
      <c r="R71" s="90"/>
      <c r="S71" s="90"/>
      <c r="T71" s="90"/>
      <c r="U71" s="90"/>
      <c r="V71" s="90"/>
      <c r="W71" s="90"/>
      <c r="X71" s="90" t="s">
        <v>237</v>
      </c>
    </row>
    <row r="72" spans="3:38" s="89" customFormat="1" x14ac:dyDescent="0.25">
      <c r="C72" s="90"/>
      <c r="D72" s="91"/>
      <c r="E72" s="90"/>
      <c r="F72" s="90"/>
      <c r="G72" s="90"/>
      <c r="H72" s="90">
        <f t="shared" si="6"/>
        <v>0</v>
      </c>
      <c r="I72" s="90">
        <f t="shared" si="1"/>
        <v>0</v>
      </c>
      <c r="J72" s="135" t="str">
        <f t="shared" si="2"/>
        <v/>
      </c>
      <c r="K72" s="109" t="str">
        <f>IF(L72="","",I72/Z72)</f>
        <v/>
      </c>
      <c r="L72" s="90"/>
      <c r="M72" s="90"/>
      <c r="N72" s="90"/>
      <c r="O72" s="90"/>
      <c r="P72" s="90"/>
      <c r="Q72" s="90"/>
      <c r="R72" s="90"/>
      <c r="S72" s="90"/>
      <c r="T72" s="90"/>
      <c r="U72" s="90"/>
      <c r="V72" s="90"/>
      <c r="W72" s="90"/>
      <c r="X72" s="90" t="s">
        <v>237</v>
      </c>
      <c r="Y72" s="110"/>
      <c r="Z72" s="111" cm="1">
        <f t="array" ref="Z72:AK72">INDEX(L72:W72,COUNT(L72:W72))</f>
        <v>0</v>
      </c>
      <c r="AA72" s="110">
        <v>0</v>
      </c>
      <c r="AB72" s="110">
        <v>0</v>
      </c>
      <c r="AC72" s="110">
        <v>0</v>
      </c>
      <c r="AD72" s="110">
        <v>0</v>
      </c>
      <c r="AE72" s="110">
        <v>0</v>
      </c>
      <c r="AF72" s="110">
        <v>0</v>
      </c>
      <c r="AG72" s="110">
        <v>0</v>
      </c>
      <c r="AH72" s="110">
        <v>0</v>
      </c>
      <c r="AI72" s="110">
        <v>0</v>
      </c>
      <c r="AJ72" s="110">
        <v>0</v>
      </c>
      <c r="AK72" s="110">
        <v>0</v>
      </c>
      <c r="AL72" s="110"/>
    </row>
    <row r="73" spans="3:38" s="89" customFormat="1" x14ac:dyDescent="0.25">
      <c r="C73" s="90"/>
      <c r="D73" s="91"/>
      <c r="E73" s="90"/>
      <c r="F73" s="90"/>
      <c r="G73" s="90"/>
      <c r="H73" s="90">
        <f t="shared" si="6"/>
        <v>0</v>
      </c>
      <c r="I73" s="90">
        <f t="shared" si="1"/>
        <v>0</v>
      </c>
      <c r="J73" s="135" t="str">
        <f t="shared" si="2"/>
        <v/>
      </c>
      <c r="K73" s="97"/>
      <c r="L73" s="90"/>
      <c r="M73" s="90"/>
      <c r="N73" s="90"/>
      <c r="O73" s="90"/>
      <c r="P73" s="90"/>
      <c r="Q73" s="90"/>
      <c r="R73" s="90"/>
      <c r="S73" s="90"/>
      <c r="T73" s="90"/>
      <c r="U73" s="90"/>
      <c r="V73" s="90"/>
      <c r="W73" s="90"/>
      <c r="X73" s="90" t="s">
        <v>237</v>
      </c>
    </row>
    <row r="74" spans="3:38" s="89" customFormat="1" x14ac:dyDescent="0.25">
      <c r="C74" s="90"/>
      <c r="D74" s="91"/>
      <c r="E74" s="90"/>
      <c r="F74" s="90"/>
      <c r="G74" s="90"/>
      <c r="H74" s="90">
        <f t="shared" si="6"/>
        <v>0</v>
      </c>
      <c r="I74" s="90">
        <f t="shared" si="1"/>
        <v>0</v>
      </c>
      <c r="J74" s="135" t="str">
        <f t="shared" si="2"/>
        <v/>
      </c>
      <c r="K74" s="109" t="str">
        <f>IF(L74="","",I74/Z74)</f>
        <v/>
      </c>
      <c r="L74" s="90"/>
      <c r="M74" s="90"/>
      <c r="N74" s="90"/>
      <c r="O74" s="90"/>
      <c r="P74" s="90"/>
      <c r="Q74" s="90"/>
      <c r="R74" s="90"/>
      <c r="S74" s="90"/>
      <c r="T74" s="90"/>
      <c r="U74" s="90"/>
      <c r="V74" s="90"/>
      <c r="W74" s="90"/>
      <c r="X74" s="90" t="s">
        <v>237</v>
      </c>
      <c r="Y74" s="110"/>
      <c r="Z74" s="111" cm="1">
        <f t="array" ref="Z74:AK74">INDEX(L74:W74,COUNT(L74:W74))</f>
        <v>0</v>
      </c>
      <c r="AA74" s="110">
        <v>0</v>
      </c>
      <c r="AB74" s="110">
        <v>0</v>
      </c>
      <c r="AC74" s="110">
        <v>0</v>
      </c>
      <c r="AD74" s="110">
        <v>0</v>
      </c>
      <c r="AE74" s="110">
        <v>0</v>
      </c>
      <c r="AF74" s="110">
        <v>0</v>
      </c>
      <c r="AG74" s="110">
        <v>0</v>
      </c>
      <c r="AH74" s="110">
        <v>0</v>
      </c>
      <c r="AI74" s="110">
        <v>0</v>
      </c>
      <c r="AJ74" s="110">
        <v>0</v>
      </c>
      <c r="AK74" s="110">
        <v>0</v>
      </c>
      <c r="AL74" s="110"/>
    </row>
    <row r="75" spans="3:38" s="89" customFormat="1" x14ac:dyDescent="0.25">
      <c r="C75" s="90"/>
      <c r="D75" s="91"/>
      <c r="E75" s="90"/>
      <c r="F75" s="90"/>
      <c r="G75" s="90"/>
      <c r="H75" s="90">
        <f t="shared" si="6"/>
        <v>0</v>
      </c>
      <c r="I75" s="90">
        <f t="shared" si="1"/>
        <v>0</v>
      </c>
      <c r="J75" s="135" t="str">
        <f t="shared" si="2"/>
        <v/>
      </c>
      <c r="K75" s="97"/>
      <c r="L75" s="90"/>
      <c r="M75" s="90"/>
      <c r="N75" s="90"/>
      <c r="O75" s="90"/>
      <c r="P75" s="90"/>
      <c r="Q75" s="90"/>
      <c r="R75" s="90"/>
      <c r="S75" s="90"/>
      <c r="T75" s="90"/>
      <c r="U75" s="90"/>
      <c r="V75" s="90"/>
      <c r="W75" s="90"/>
      <c r="X75" s="90" t="s">
        <v>237</v>
      </c>
    </row>
    <row r="76" spans="3:38" s="89" customFormat="1" x14ac:dyDescent="0.25">
      <c r="C76" s="92"/>
      <c r="D76" s="91"/>
      <c r="E76" s="90"/>
      <c r="F76" s="90"/>
      <c r="G76" s="90"/>
      <c r="H76" s="90">
        <f t="shared" si="6"/>
        <v>0</v>
      </c>
      <c r="I76" s="90">
        <f t="shared" si="1"/>
        <v>0</v>
      </c>
      <c r="J76" s="135" t="str">
        <f t="shared" si="2"/>
        <v/>
      </c>
      <c r="K76" s="109" t="str">
        <f>IF(L76="","",I76/Z76)</f>
        <v/>
      </c>
      <c r="L76" s="90"/>
      <c r="M76" s="90"/>
      <c r="N76" s="90"/>
      <c r="O76" s="90"/>
      <c r="P76" s="90"/>
      <c r="Q76" s="90"/>
      <c r="R76" s="90"/>
      <c r="S76" s="90"/>
      <c r="T76" s="90"/>
      <c r="U76" s="90"/>
      <c r="V76" s="90"/>
      <c r="W76" s="90"/>
      <c r="X76" s="90" t="s">
        <v>237</v>
      </c>
      <c r="Y76" s="110"/>
      <c r="Z76" s="111" cm="1">
        <f t="array" ref="Z76:AK76">INDEX(L76:W76,COUNT(L76:W76))</f>
        <v>0</v>
      </c>
      <c r="AA76" s="110">
        <v>0</v>
      </c>
      <c r="AB76" s="110">
        <v>0</v>
      </c>
      <c r="AC76" s="110">
        <v>0</v>
      </c>
      <c r="AD76" s="110">
        <v>0</v>
      </c>
      <c r="AE76" s="110">
        <v>0</v>
      </c>
      <c r="AF76" s="110">
        <v>0</v>
      </c>
      <c r="AG76" s="110">
        <v>0</v>
      </c>
      <c r="AH76" s="110">
        <v>0</v>
      </c>
      <c r="AI76" s="110">
        <v>0</v>
      </c>
      <c r="AJ76" s="110">
        <v>0</v>
      </c>
      <c r="AK76" s="110">
        <v>0</v>
      </c>
      <c r="AL76" s="110"/>
    </row>
    <row r="77" spans="3:38" s="89" customFormat="1" x14ac:dyDescent="0.25">
      <c r="C77" s="92"/>
      <c r="D77" s="91"/>
      <c r="E77" s="90"/>
      <c r="F77" s="90"/>
      <c r="G77" s="90"/>
      <c r="H77" s="90">
        <f t="shared" si="6"/>
        <v>0</v>
      </c>
      <c r="I77" s="90">
        <f t="shared" si="1"/>
        <v>0</v>
      </c>
      <c r="J77" s="135" t="str">
        <f t="shared" si="2"/>
        <v/>
      </c>
      <c r="K77" s="97"/>
      <c r="L77" s="90"/>
      <c r="M77" s="90"/>
      <c r="N77" s="90"/>
      <c r="O77" s="90"/>
      <c r="P77" s="90"/>
      <c r="Q77" s="90"/>
      <c r="R77" s="90"/>
      <c r="S77" s="90"/>
      <c r="T77" s="90"/>
      <c r="U77" s="90"/>
      <c r="V77" s="90"/>
      <c r="W77" s="90"/>
      <c r="X77" s="90" t="s">
        <v>237</v>
      </c>
    </row>
    <row r="78" spans="3:38" s="89" customFormat="1" x14ac:dyDescent="0.25">
      <c r="C78" s="92"/>
      <c r="D78" s="91"/>
      <c r="E78" s="90"/>
      <c r="F78" s="90"/>
      <c r="G78" s="90"/>
      <c r="H78" s="90">
        <f t="shared" ref="H78:H105" si="10">SUM(L78:W78)</f>
        <v>0</v>
      </c>
      <c r="I78" s="90">
        <f t="shared" ref="I78:I105" si="11">G78-H78</f>
        <v>0</v>
      </c>
      <c r="J78" s="135" t="str">
        <f t="shared" si="2"/>
        <v/>
      </c>
      <c r="K78" s="109" t="str">
        <f>IF(L78="","",I78/Z78)</f>
        <v/>
      </c>
      <c r="L78" s="90"/>
      <c r="M78" s="90"/>
      <c r="N78" s="90"/>
      <c r="O78" s="90"/>
      <c r="P78" s="90"/>
      <c r="Q78" s="90"/>
      <c r="R78" s="90"/>
      <c r="S78" s="90"/>
      <c r="T78" s="90"/>
      <c r="U78" s="90"/>
      <c r="V78" s="90"/>
      <c r="W78" s="90"/>
      <c r="X78" s="90" t="s">
        <v>237</v>
      </c>
      <c r="Y78" s="110"/>
      <c r="Z78" s="111" cm="1">
        <f t="array" ref="Z78:AK78">INDEX(L78:W78,COUNT(L78:W78))</f>
        <v>0</v>
      </c>
      <c r="AA78" s="110">
        <v>0</v>
      </c>
      <c r="AB78" s="110">
        <v>0</v>
      </c>
      <c r="AC78" s="110">
        <v>0</v>
      </c>
      <c r="AD78" s="110">
        <v>0</v>
      </c>
      <c r="AE78" s="110">
        <v>0</v>
      </c>
      <c r="AF78" s="110">
        <v>0</v>
      </c>
      <c r="AG78" s="110">
        <v>0</v>
      </c>
      <c r="AH78" s="110">
        <v>0</v>
      </c>
      <c r="AI78" s="110">
        <v>0</v>
      </c>
      <c r="AJ78" s="110">
        <v>0</v>
      </c>
      <c r="AK78" s="110">
        <v>0</v>
      </c>
      <c r="AL78" s="110"/>
    </row>
    <row r="79" spans="3:38" s="89" customFormat="1" x14ac:dyDescent="0.25">
      <c r="C79" s="92"/>
      <c r="D79" s="91"/>
      <c r="E79" s="90"/>
      <c r="F79" s="90"/>
      <c r="G79" s="90"/>
      <c r="H79" s="90">
        <f t="shared" si="10"/>
        <v>0</v>
      </c>
      <c r="I79" s="90">
        <f t="shared" si="11"/>
        <v>0</v>
      </c>
      <c r="J79" s="135" t="str">
        <f t="shared" si="2"/>
        <v/>
      </c>
      <c r="K79" s="97"/>
      <c r="L79" s="90"/>
      <c r="M79" s="90"/>
      <c r="N79" s="90"/>
      <c r="O79" s="90"/>
      <c r="P79" s="90"/>
      <c r="Q79" s="90"/>
      <c r="R79" s="90"/>
      <c r="S79" s="90"/>
      <c r="T79" s="90"/>
      <c r="U79" s="90"/>
      <c r="V79" s="90"/>
      <c r="W79" s="90"/>
      <c r="X79" s="90" t="s">
        <v>237</v>
      </c>
    </row>
    <row r="80" spans="3:38" s="89" customFormat="1" x14ac:dyDescent="0.25">
      <c r="C80" s="90"/>
      <c r="D80" s="91"/>
      <c r="E80" s="90"/>
      <c r="F80" s="90"/>
      <c r="G80" s="90"/>
      <c r="H80" s="90">
        <f t="shared" si="10"/>
        <v>0</v>
      </c>
      <c r="I80" s="90">
        <f t="shared" si="11"/>
        <v>0</v>
      </c>
      <c r="J80" s="135" t="str">
        <f t="shared" ref="J80:J105" si="12">IF(G80="","",(H80/G80))</f>
        <v/>
      </c>
      <c r="K80" s="109" t="str">
        <f t="shared" ref="K80:K82" si="13">IF(L80="","",I80/Z80)</f>
        <v/>
      </c>
      <c r="L80" s="90"/>
      <c r="M80" s="90"/>
      <c r="N80" s="90"/>
      <c r="O80" s="90"/>
      <c r="P80" s="90"/>
      <c r="Q80" s="90"/>
      <c r="R80" s="90"/>
      <c r="S80" s="90"/>
      <c r="T80" s="90"/>
      <c r="U80" s="90"/>
      <c r="V80" s="90"/>
      <c r="W80" s="90"/>
      <c r="X80" s="90" t="s">
        <v>209</v>
      </c>
      <c r="Y80" s="110"/>
      <c r="Z80" s="111" cm="1">
        <f t="array" ref="Z80:AK80">INDEX(L80:W80,COUNT(L80:W80))</f>
        <v>0</v>
      </c>
      <c r="AA80" s="110">
        <v>0</v>
      </c>
      <c r="AB80" s="110">
        <v>0</v>
      </c>
      <c r="AC80" s="110">
        <v>0</v>
      </c>
      <c r="AD80" s="110">
        <v>0</v>
      </c>
      <c r="AE80" s="110">
        <v>0</v>
      </c>
      <c r="AF80" s="110">
        <v>0</v>
      </c>
      <c r="AG80" s="110">
        <v>0</v>
      </c>
      <c r="AH80" s="110">
        <v>0</v>
      </c>
      <c r="AI80" s="110">
        <v>0</v>
      </c>
      <c r="AJ80" s="110">
        <v>0</v>
      </c>
      <c r="AK80" s="110">
        <v>0</v>
      </c>
      <c r="AL80" s="110"/>
    </row>
    <row r="81" spans="3:38" s="89" customFormat="1" x14ac:dyDescent="0.25">
      <c r="C81" s="90"/>
      <c r="D81" s="91"/>
      <c r="E81" s="90"/>
      <c r="F81" s="90"/>
      <c r="G81" s="90"/>
      <c r="H81" s="90">
        <f t="shared" si="10"/>
        <v>0</v>
      </c>
      <c r="I81" s="90">
        <f t="shared" si="11"/>
        <v>0</v>
      </c>
      <c r="J81" s="135" t="str">
        <f t="shared" si="12"/>
        <v/>
      </c>
      <c r="K81" s="109" t="str">
        <f t="shared" si="13"/>
        <v/>
      </c>
      <c r="L81" s="90"/>
      <c r="M81" s="90"/>
      <c r="N81" s="90"/>
      <c r="O81" s="90"/>
      <c r="P81" s="90"/>
      <c r="Q81" s="90"/>
      <c r="R81" s="90"/>
      <c r="S81" s="90"/>
      <c r="T81" s="90"/>
      <c r="U81" s="90"/>
      <c r="V81" s="90"/>
      <c r="W81" s="90"/>
      <c r="X81" s="90" t="s">
        <v>209</v>
      </c>
      <c r="Y81" s="110"/>
      <c r="Z81" s="111" cm="1">
        <f t="array" ref="Z81:AK81">INDEX(L81:W81,COUNT(L81:W81))</f>
        <v>0</v>
      </c>
      <c r="AA81" s="110">
        <v>0</v>
      </c>
      <c r="AB81" s="110">
        <v>0</v>
      </c>
      <c r="AC81" s="110">
        <v>0</v>
      </c>
      <c r="AD81" s="110">
        <v>0</v>
      </c>
      <c r="AE81" s="110">
        <v>0</v>
      </c>
      <c r="AF81" s="110">
        <v>0</v>
      </c>
      <c r="AG81" s="110">
        <v>0</v>
      </c>
      <c r="AH81" s="110">
        <v>0</v>
      </c>
      <c r="AI81" s="110">
        <v>0</v>
      </c>
      <c r="AJ81" s="110">
        <v>0</v>
      </c>
      <c r="AK81" s="110">
        <v>0</v>
      </c>
      <c r="AL81" s="110"/>
    </row>
    <row r="82" spans="3:38" s="89" customFormat="1" x14ac:dyDescent="0.25">
      <c r="C82" s="90"/>
      <c r="D82" s="91"/>
      <c r="E82" s="90"/>
      <c r="F82" s="90"/>
      <c r="G82" s="90"/>
      <c r="H82" s="90">
        <f t="shared" si="10"/>
        <v>0</v>
      </c>
      <c r="I82" s="90">
        <f t="shared" si="11"/>
        <v>0</v>
      </c>
      <c r="J82" s="135" t="str">
        <f t="shared" si="12"/>
        <v/>
      </c>
      <c r="K82" s="109" t="str">
        <f t="shared" si="13"/>
        <v/>
      </c>
      <c r="L82" s="90"/>
      <c r="M82" s="90"/>
      <c r="N82" s="90"/>
      <c r="O82" s="90"/>
      <c r="P82" s="90"/>
      <c r="Q82" s="90"/>
      <c r="R82" s="90"/>
      <c r="S82" s="90"/>
      <c r="T82" s="90"/>
      <c r="U82" s="90"/>
      <c r="V82" s="90"/>
      <c r="W82" s="90"/>
      <c r="X82" s="90" t="s">
        <v>209</v>
      </c>
      <c r="Y82" s="110"/>
      <c r="Z82" s="111" cm="1">
        <f t="array" ref="Z82:AK82">INDEX(L82:W82,COUNT(L82:W82))</f>
        <v>0</v>
      </c>
      <c r="AA82" s="110">
        <v>0</v>
      </c>
      <c r="AB82" s="110">
        <v>0</v>
      </c>
      <c r="AC82" s="110">
        <v>0</v>
      </c>
      <c r="AD82" s="110">
        <v>0</v>
      </c>
      <c r="AE82" s="110">
        <v>0</v>
      </c>
      <c r="AF82" s="110">
        <v>0</v>
      </c>
      <c r="AG82" s="110">
        <v>0</v>
      </c>
      <c r="AH82" s="110">
        <v>0</v>
      </c>
      <c r="AI82" s="110">
        <v>0</v>
      </c>
      <c r="AJ82" s="110">
        <v>0</v>
      </c>
      <c r="AK82" s="110">
        <v>0</v>
      </c>
      <c r="AL82" s="110"/>
    </row>
    <row r="83" spans="3:38" s="89" customFormat="1" x14ac:dyDescent="0.25">
      <c r="C83" s="90"/>
      <c r="D83" s="91"/>
      <c r="E83" s="90"/>
      <c r="F83" s="90"/>
      <c r="G83" s="90"/>
      <c r="H83" s="90">
        <f t="shared" si="10"/>
        <v>0</v>
      </c>
      <c r="I83" s="90">
        <f t="shared" si="11"/>
        <v>0</v>
      </c>
      <c r="J83" s="135" t="str">
        <f t="shared" si="12"/>
        <v/>
      </c>
      <c r="K83" s="97"/>
      <c r="L83" s="90"/>
      <c r="M83" s="90"/>
      <c r="N83" s="90"/>
      <c r="O83" s="90"/>
      <c r="P83" s="90"/>
      <c r="Q83" s="90"/>
      <c r="R83" s="90"/>
      <c r="S83" s="90"/>
      <c r="T83" s="90"/>
      <c r="U83" s="90"/>
      <c r="V83" s="90"/>
      <c r="W83" s="90"/>
      <c r="X83" s="90" t="s">
        <v>209</v>
      </c>
    </row>
    <row r="84" spans="3:38" s="89" customFormat="1" x14ac:dyDescent="0.25">
      <c r="C84" s="90"/>
      <c r="D84" s="91"/>
      <c r="E84" s="90"/>
      <c r="F84" s="90"/>
      <c r="G84" s="90"/>
      <c r="H84" s="90">
        <f t="shared" si="10"/>
        <v>0</v>
      </c>
      <c r="I84" s="90">
        <f t="shared" si="11"/>
        <v>0</v>
      </c>
      <c r="J84" s="135" t="str">
        <f t="shared" si="12"/>
        <v/>
      </c>
      <c r="K84" s="109" t="str">
        <f>IF(L84="","",I84/Z84)</f>
        <v/>
      </c>
      <c r="L84" s="90"/>
      <c r="M84" s="90"/>
      <c r="N84" s="90"/>
      <c r="O84" s="90"/>
      <c r="P84" s="90"/>
      <c r="Q84" s="90"/>
      <c r="R84" s="90"/>
      <c r="S84" s="90"/>
      <c r="T84" s="90"/>
      <c r="U84" s="90"/>
      <c r="V84" s="90"/>
      <c r="W84" s="90"/>
      <c r="X84" s="90" t="s">
        <v>209</v>
      </c>
      <c r="Y84" s="110"/>
      <c r="Z84" s="111" cm="1">
        <f t="array" ref="Z84:AK84">INDEX(L84:W84,COUNT(L84:W84))</f>
        <v>0</v>
      </c>
      <c r="AA84" s="110">
        <v>0</v>
      </c>
      <c r="AB84" s="110">
        <v>0</v>
      </c>
      <c r="AC84" s="110">
        <v>0</v>
      </c>
      <c r="AD84" s="110">
        <v>0</v>
      </c>
      <c r="AE84" s="110">
        <v>0</v>
      </c>
      <c r="AF84" s="110">
        <v>0</v>
      </c>
      <c r="AG84" s="110">
        <v>0</v>
      </c>
      <c r="AH84" s="110">
        <v>0</v>
      </c>
      <c r="AI84" s="110">
        <v>0</v>
      </c>
      <c r="AJ84" s="110">
        <v>0</v>
      </c>
      <c r="AK84" s="110">
        <v>0</v>
      </c>
      <c r="AL84" s="110"/>
    </row>
    <row r="85" spans="3:38" s="89" customFormat="1" x14ac:dyDescent="0.25">
      <c r="C85" s="90"/>
      <c r="D85" s="91"/>
      <c r="E85" s="90"/>
      <c r="F85" s="90"/>
      <c r="G85" s="90"/>
      <c r="H85" s="90">
        <f t="shared" si="10"/>
        <v>0</v>
      </c>
      <c r="I85" s="90">
        <f t="shared" si="11"/>
        <v>0</v>
      </c>
      <c r="J85" s="135" t="str">
        <f t="shared" si="12"/>
        <v/>
      </c>
      <c r="K85" s="97"/>
      <c r="L85" s="90"/>
      <c r="M85" s="90"/>
      <c r="N85" s="90"/>
      <c r="O85" s="90"/>
      <c r="P85" s="90"/>
      <c r="Q85" s="90"/>
      <c r="R85" s="90"/>
      <c r="S85" s="90"/>
      <c r="T85" s="90"/>
      <c r="U85" s="90"/>
      <c r="V85" s="90"/>
      <c r="W85" s="90"/>
      <c r="X85" s="90" t="s">
        <v>209</v>
      </c>
    </row>
    <row r="86" spans="3:38" s="89" customFormat="1" x14ac:dyDescent="0.25">
      <c r="C86" s="90"/>
      <c r="D86" s="91"/>
      <c r="E86" s="90"/>
      <c r="F86" s="90"/>
      <c r="G86" s="90"/>
      <c r="H86" s="90">
        <f t="shared" si="10"/>
        <v>0</v>
      </c>
      <c r="I86" s="90">
        <f t="shared" si="11"/>
        <v>0</v>
      </c>
      <c r="J86" s="135" t="str">
        <f t="shared" si="12"/>
        <v/>
      </c>
      <c r="K86" s="109" t="str">
        <f t="shared" ref="K86:K92" si="14">IF(L86="","",I86/Z86)</f>
        <v/>
      </c>
      <c r="L86" s="90"/>
      <c r="M86" s="90"/>
      <c r="N86" s="90"/>
      <c r="O86" s="90"/>
      <c r="P86" s="90"/>
      <c r="Q86" s="90"/>
      <c r="R86" s="90"/>
      <c r="S86" s="90"/>
      <c r="T86" s="90"/>
      <c r="U86" s="90"/>
      <c r="V86" s="90"/>
      <c r="W86" s="90"/>
      <c r="X86" s="90" t="s">
        <v>238</v>
      </c>
      <c r="Y86" s="110"/>
      <c r="Z86" s="111" cm="1">
        <f t="array" ref="Z86:AK86">INDEX(L86:W86,COUNT(L86:W86))</f>
        <v>0</v>
      </c>
      <c r="AA86" s="110">
        <v>0</v>
      </c>
      <c r="AB86" s="110">
        <v>0</v>
      </c>
      <c r="AC86" s="110">
        <v>0</v>
      </c>
      <c r="AD86" s="110">
        <v>0</v>
      </c>
      <c r="AE86" s="110">
        <v>0</v>
      </c>
      <c r="AF86" s="110">
        <v>0</v>
      </c>
      <c r="AG86" s="110">
        <v>0</v>
      </c>
      <c r="AH86" s="110">
        <v>0</v>
      </c>
      <c r="AI86" s="110">
        <v>0</v>
      </c>
      <c r="AJ86" s="110">
        <v>0</v>
      </c>
      <c r="AK86" s="110">
        <v>0</v>
      </c>
      <c r="AL86" s="110"/>
    </row>
    <row r="87" spans="3:38" s="89" customFormat="1" x14ac:dyDescent="0.25">
      <c r="C87" s="90"/>
      <c r="D87" s="91"/>
      <c r="E87" s="90"/>
      <c r="F87" s="90"/>
      <c r="G87" s="90"/>
      <c r="H87" s="90">
        <f t="shared" si="10"/>
        <v>0</v>
      </c>
      <c r="I87" s="90">
        <f t="shared" si="11"/>
        <v>0</v>
      </c>
      <c r="J87" s="135" t="str">
        <f t="shared" si="12"/>
        <v/>
      </c>
      <c r="K87" s="109" t="str">
        <f t="shared" si="14"/>
        <v/>
      </c>
      <c r="L87" s="90"/>
      <c r="M87" s="90"/>
      <c r="N87" s="90"/>
      <c r="O87" s="90"/>
      <c r="P87" s="90"/>
      <c r="Q87" s="90"/>
      <c r="R87" s="90"/>
      <c r="S87" s="90"/>
      <c r="T87" s="90"/>
      <c r="U87" s="90"/>
      <c r="V87" s="90"/>
      <c r="W87" s="90"/>
      <c r="X87" s="90" t="s">
        <v>238</v>
      </c>
      <c r="Y87" s="110"/>
      <c r="Z87" s="111" cm="1">
        <f t="array" ref="Z87:AK87">INDEX(L87:W87,COUNT(L87:W87))</f>
        <v>0</v>
      </c>
      <c r="AA87" s="110">
        <v>0</v>
      </c>
      <c r="AB87" s="110">
        <v>0</v>
      </c>
      <c r="AC87" s="110">
        <v>0</v>
      </c>
      <c r="AD87" s="110">
        <v>0</v>
      </c>
      <c r="AE87" s="110">
        <v>0</v>
      </c>
      <c r="AF87" s="110">
        <v>0</v>
      </c>
      <c r="AG87" s="110">
        <v>0</v>
      </c>
      <c r="AH87" s="110">
        <v>0</v>
      </c>
      <c r="AI87" s="110">
        <v>0</v>
      </c>
      <c r="AJ87" s="110">
        <v>0</v>
      </c>
      <c r="AK87" s="110">
        <v>0</v>
      </c>
      <c r="AL87" s="110"/>
    </row>
    <row r="88" spans="3:38" s="89" customFormat="1" x14ac:dyDescent="0.25">
      <c r="C88" s="90"/>
      <c r="D88" s="91"/>
      <c r="E88" s="90"/>
      <c r="F88" s="90"/>
      <c r="G88" s="90"/>
      <c r="H88" s="90">
        <f t="shared" si="10"/>
        <v>0</v>
      </c>
      <c r="I88" s="90">
        <f t="shared" si="11"/>
        <v>0</v>
      </c>
      <c r="J88" s="135" t="str">
        <f t="shared" si="12"/>
        <v/>
      </c>
      <c r="K88" s="109" t="str">
        <f t="shared" si="14"/>
        <v/>
      </c>
      <c r="L88" s="90"/>
      <c r="M88" s="90"/>
      <c r="N88" s="90"/>
      <c r="O88" s="90"/>
      <c r="P88" s="90"/>
      <c r="Q88" s="90"/>
      <c r="R88" s="90"/>
      <c r="S88" s="90"/>
      <c r="T88" s="90"/>
      <c r="U88" s="90"/>
      <c r="V88" s="90"/>
      <c r="W88" s="90"/>
      <c r="X88" s="90" t="s">
        <v>238</v>
      </c>
      <c r="Y88" s="110"/>
      <c r="Z88" s="111" cm="1">
        <f t="array" ref="Z88:AK88">INDEX(L88:W88,COUNT(L88:W88))</f>
        <v>0</v>
      </c>
      <c r="AA88" s="110">
        <v>0</v>
      </c>
      <c r="AB88" s="110">
        <v>0</v>
      </c>
      <c r="AC88" s="110">
        <v>0</v>
      </c>
      <c r="AD88" s="110">
        <v>0</v>
      </c>
      <c r="AE88" s="110">
        <v>0</v>
      </c>
      <c r="AF88" s="110">
        <v>0</v>
      </c>
      <c r="AG88" s="110">
        <v>0</v>
      </c>
      <c r="AH88" s="110">
        <v>0</v>
      </c>
      <c r="AI88" s="110">
        <v>0</v>
      </c>
      <c r="AJ88" s="110">
        <v>0</v>
      </c>
      <c r="AK88" s="110">
        <v>0</v>
      </c>
      <c r="AL88" s="110"/>
    </row>
    <row r="89" spans="3:38" s="89" customFormat="1" x14ac:dyDescent="0.25">
      <c r="C89" s="90"/>
      <c r="D89" s="91"/>
      <c r="E89" s="90"/>
      <c r="F89" s="90"/>
      <c r="G89" s="90"/>
      <c r="H89" s="90">
        <f t="shared" si="10"/>
        <v>0</v>
      </c>
      <c r="I89" s="90">
        <f t="shared" si="11"/>
        <v>0</v>
      </c>
      <c r="J89" s="135" t="str">
        <f t="shared" si="12"/>
        <v/>
      </c>
      <c r="K89" s="109" t="str">
        <f t="shared" si="14"/>
        <v/>
      </c>
      <c r="L89" s="90"/>
      <c r="M89" s="90"/>
      <c r="N89" s="90"/>
      <c r="O89" s="90"/>
      <c r="P89" s="90"/>
      <c r="Q89" s="90"/>
      <c r="R89" s="90"/>
      <c r="S89" s="90"/>
      <c r="T89" s="90"/>
      <c r="U89" s="90"/>
      <c r="V89" s="90"/>
      <c r="W89" s="90"/>
      <c r="X89" s="90" t="s">
        <v>238</v>
      </c>
      <c r="Y89" s="110"/>
      <c r="Z89" s="111" cm="1">
        <f t="array" ref="Z89:AK89">INDEX(L89:W89,COUNT(L89:W89))</f>
        <v>0</v>
      </c>
      <c r="AA89" s="110">
        <v>0</v>
      </c>
      <c r="AB89" s="110">
        <v>0</v>
      </c>
      <c r="AC89" s="110">
        <v>0</v>
      </c>
      <c r="AD89" s="110">
        <v>0</v>
      </c>
      <c r="AE89" s="110">
        <v>0</v>
      </c>
      <c r="AF89" s="110">
        <v>0</v>
      </c>
      <c r="AG89" s="110">
        <v>0</v>
      </c>
      <c r="AH89" s="110">
        <v>0</v>
      </c>
      <c r="AI89" s="110">
        <v>0</v>
      </c>
      <c r="AJ89" s="110">
        <v>0</v>
      </c>
      <c r="AK89" s="110">
        <v>0</v>
      </c>
      <c r="AL89" s="110"/>
    </row>
    <row r="90" spans="3:38" s="89" customFormat="1" x14ac:dyDescent="0.25">
      <c r="C90" s="90"/>
      <c r="D90" s="91"/>
      <c r="E90" s="90"/>
      <c r="F90" s="90"/>
      <c r="G90" s="90"/>
      <c r="H90" s="90">
        <f t="shared" si="10"/>
        <v>0</v>
      </c>
      <c r="I90" s="90">
        <f t="shared" si="11"/>
        <v>0</v>
      </c>
      <c r="J90" s="135" t="str">
        <f t="shared" si="12"/>
        <v/>
      </c>
      <c r="K90" s="109" t="str">
        <f t="shared" si="14"/>
        <v/>
      </c>
      <c r="L90" s="90"/>
      <c r="M90" s="90"/>
      <c r="N90" s="90"/>
      <c r="O90" s="90"/>
      <c r="P90" s="90"/>
      <c r="Q90" s="90"/>
      <c r="R90" s="90"/>
      <c r="S90" s="90"/>
      <c r="T90" s="90"/>
      <c r="U90" s="90"/>
      <c r="V90" s="90"/>
      <c r="W90" s="90"/>
      <c r="X90" s="90" t="s">
        <v>238</v>
      </c>
      <c r="Y90" s="110"/>
      <c r="Z90" s="111" cm="1">
        <f t="array" ref="Z90:AK90">INDEX(L90:W90,COUNT(L90:W90))</f>
        <v>0</v>
      </c>
      <c r="AA90" s="110">
        <v>0</v>
      </c>
      <c r="AB90" s="110">
        <v>0</v>
      </c>
      <c r="AC90" s="110">
        <v>0</v>
      </c>
      <c r="AD90" s="110">
        <v>0</v>
      </c>
      <c r="AE90" s="110">
        <v>0</v>
      </c>
      <c r="AF90" s="110">
        <v>0</v>
      </c>
      <c r="AG90" s="110">
        <v>0</v>
      </c>
      <c r="AH90" s="110">
        <v>0</v>
      </c>
      <c r="AI90" s="110">
        <v>0</v>
      </c>
      <c r="AJ90" s="110">
        <v>0</v>
      </c>
      <c r="AK90" s="110">
        <v>0</v>
      </c>
      <c r="AL90" s="110"/>
    </row>
    <row r="91" spans="3:38" s="89" customFormat="1" x14ac:dyDescent="0.25">
      <c r="C91" s="90"/>
      <c r="D91" s="91"/>
      <c r="E91" s="90"/>
      <c r="F91" s="90"/>
      <c r="G91" s="90"/>
      <c r="H91" s="90">
        <f t="shared" si="10"/>
        <v>0</v>
      </c>
      <c r="I91" s="90">
        <f t="shared" si="11"/>
        <v>0</v>
      </c>
      <c r="J91" s="135"/>
      <c r="K91" s="109" t="str">
        <f t="shared" si="14"/>
        <v/>
      </c>
      <c r="L91" s="90"/>
      <c r="M91" s="90"/>
      <c r="N91" s="90"/>
      <c r="O91" s="90"/>
      <c r="P91" s="90"/>
      <c r="Q91" s="90"/>
      <c r="R91" s="90"/>
      <c r="S91" s="90"/>
      <c r="T91" s="90"/>
      <c r="U91" s="90"/>
      <c r="V91" s="90"/>
      <c r="W91" s="90"/>
      <c r="X91" s="90" t="s">
        <v>238</v>
      </c>
      <c r="Y91" s="110"/>
      <c r="Z91" s="111" cm="1">
        <f t="array" ref="Z91:AK91">INDEX(L91:W91,COUNT(L91:W91))</f>
        <v>0</v>
      </c>
      <c r="AA91" s="110">
        <v>0</v>
      </c>
      <c r="AB91" s="110">
        <v>0</v>
      </c>
      <c r="AC91" s="110">
        <v>0</v>
      </c>
      <c r="AD91" s="110">
        <v>0</v>
      </c>
      <c r="AE91" s="110">
        <v>0</v>
      </c>
      <c r="AF91" s="110">
        <v>0</v>
      </c>
      <c r="AG91" s="110">
        <v>0</v>
      </c>
      <c r="AH91" s="110">
        <v>0</v>
      </c>
      <c r="AI91" s="110">
        <v>0</v>
      </c>
      <c r="AJ91" s="110">
        <v>0</v>
      </c>
      <c r="AK91" s="110">
        <v>0</v>
      </c>
      <c r="AL91" s="110"/>
    </row>
    <row r="92" spans="3:38" s="89" customFormat="1" x14ac:dyDescent="0.25">
      <c r="C92" s="90"/>
      <c r="D92" s="91"/>
      <c r="E92" s="90"/>
      <c r="F92" s="90"/>
      <c r="G92" s="90"/>
      <c r="H92" s="90">
        <f t="shared" si="10"/>
        <v>0</v>
      </c>
      <c r="I92" s="90">
        <f t="shared" si="11"/>
        <v>0</v>
      </c>
      <c r="J92" s="135" t="str">
        <f t="shared" si="12"/>
        <v/>
      </c>
      <c r="K92" s="109" t="str">
        <f t="shared" si="14"/>
        <v/>
      </c>
      <c r="L92" s="90"/>
      <c r="M92" s="90"/>
      <c r="N92" s="90"/>
      <c r="O92" s="90"/>
      <c r="P92" s="90"/>
      <c r="Q92" s="90"/>
      <c r="R92" s="90"/>
      <c r="S92" s="90"/>
      <c r="T92" s="90"/>
      <c r="U92" s="90"/>
      <c r="V92" s="90"/>
      <c r="W92" s="90"/>
      <c r="X92" s="90" t="s">
        <v>237</v>
      </c>
      <c r="Y92" s="110"/>
      <c r="Z92" s="111" cm="1">
        <f t="array" ref="Z92:AK92">INDEX(L92:W92,COUNT(L92:W92))</f>
        <v>0</v>
      </c>
      <c r="AA92" s="110">
        <v>0</v>
      </c>
      <c r="AB92" s="110">
        <v>0</v>
      </c>
      <c r="AC92" s="110">
        <v>0</v>
      </c>
      <c r="AD92" s="110">
        <v>0</v>
      </c>
      <c r="AE92" s="110">
        <v>0</v>
      </c>
      <c r="AF92" s="110">
        <v>0</v>
      </c>
      <c r="AG92" s="110">
        <v>0</v>
      </c>
      <c r="AH92" s="110">
        <v>0</v>
      </c>
      <c r="AI92" s="110">
        <v>0</v>
      </c>
      <c r="AJ92" s="110">
        <v>0</v>
      </c>
      <c r="AK92" s="110">
        <v>0</v>
      </c>
      <c r="AL92" s="110"/>
    </row>
    <row r="93" spans="3:38" s="89" customFormat="1" x14ac:dyDescent="0.25">
      <c r="C93" s="90"/>
      <c r="D93" s="91"/>
      <c r="E93" s="90"/>
      <c r="F93" s="90"/>
      <c r="G93" s="90"/>
      <c r="H93" s="90">
        <f t="shared" si="10"/>
        <v>0</v>
      </c>
      <c r="I93" s="90">
        <f t="shared" si="11"/>
        <v>0</v>
      </c>
      <c r="J93" s="135" t="str">
        <f t="shared" si="12"/>
        <v/>
      </c>
      <c r="K93" s="97"/>
      <c r="L93" s="90"/>
      <c r="M93" s="90"/>
      <c r="N93" s="90"/>
      <c r="O93" s="90"/>
      <c r="P93" s="90"/>
      <c r="Q93" s="90"/>
      <c r="R93" s="90"/>
      <c r="S93" s="90"/>
      <c r="T93" s="90"/>
      <c r="U93" s="90"/>
      <c r="V93" s="90"/>
      <c r="W93" s="90"/>
      <c r="X93" s="90" t="s">
        <v>237</v>
      </c>
    </row>
    <row r="94" spans="3:38" s="89" customFormat="1" x14ac:dyDescent="0.25">
      <c r="C94" s="90"/>
      <c r="D94" s="91"/>
      <c r="E94" s="90"/>
      <c r="F94" s="90"/>
      <c r="G94" s="90"/>
      <c r="H94" s="90">
        <f t="shared" si="10"/>
        <v>0</v>
      </c>
      <c r="I94" s="90">
        <f t="shared" si="11"/>
        <v>0</v>
      </c>
      <c r="J94" s="135" t="str">
        <f t="shared" si="12"/>
        <v/>
      </c>
      <c r="K94" s="109" t="str">
        <f t="shared" ref="K94:K100" si="15">IF(L94="","",I94/Z94)</f>
        <v/>
      </c>
      <c r="L94" s="90"/>
      <c r="M94" s="90"/>
      <c r="N94" s="90"/>
      <c r="O94" s="90"/>
      <c r="P94" s="90"/>
      <c r="Q94" s="90"/>
      <c r="R94" s="90"/>
      <c r="S94" s="90"/>
      <c r="T94" s="90"/>
      <c r="U94" s="90"/>
      <c r="V94" s="90"/>
      <c r="W94" s="90"/>
      <c r="X94" s="90" t="s">
        <v>238</v>
      </c>
      <c r="Y94" s="110"/>
      <c r="Z94" s="111" cm="1">
        <f t="array" ref="Z94:AK94">INDEX(L94:W94,COUNT(L94:W94))</f>
        <v>0</v>
      </c>
      <c r="AA94" s="110">
        <v>0</v>
      </c>
      <c r="AB94" s="110">
        <v>0</v>
      </c>
      <c r="AC94" s="110">
        <v>0</v>
      </c>
      <c r="AD94" s="110">
        <v>0</v>
      </c>
      <c r="AE94" s="110">
        <v>0</v>
      </c>
      <c r="AF94" s="110">
        <v>0</v>
      </c>
      <c r="AG94" s="110">
        <v>0</v>
      </c>
      <c r="AH94" s="110">
        <v>0</v>
      </c>
      <c r="AI94" s="110">
        <v>0</v>
      </c>
      <c r="AJ94" s="110">
        <v>0</v>
      </c>
      <c r="AK94" s="110">
        <v>0</v>
      </c>
      <c r="AL94" s="110"/>
    </row>
    <row r="95" spans="3:38" s="89" customFormat="1" x14ac:dyDescent="0.25">
      <c r="C95" s="90"/>
      <c r="D95" s="91"/>
      <c r="E95" s="90"/>
      <c r="F95" s="90"/>
      <c r="G95" s="90"/>
      <c r="H95" s="90">
        <f t="shared" si="10"/>
        <v>0</v>
      </c>
      <c r="I95" s="90">
        <f t="shared" si="11"/>
        <v>0</v>
      </c>
      <c r="J95" s="135" t="str">
        <f t="shared" si="12"/>
        <v/>
      </c>
      <c r="K95" s="109" t="str">
        <f t="shared" si="15"/>
        <v/>
      </c>
      <c r="L95" s="90"/>
      <c r="M95" s="90"/>
      <c r="N95" s="90"/>
      <c r="O95" s="90"/>
      <c r="P95" s="90"/>
      <c r="Q95" s="90"/>
      <c r="R95" s="90"/>
      <c r="S95" s="90"/>
      <c r="T95" s="90"/>
      <c r="U95" s="90"/>
      <c r="V95" s="90"/>
      <c r="W95" s="90"/>
      <c r="X95" s="90" t="s">
        <v>238</v>
      </c>
      <c r="Y95" s="110"/>
      <c r="Z95" s="111" cm="1">
        <f t="array" ref="Z95:AK95">INDEX(L95:W95,COUNT(L95:W95))</f>
        <v>0</v>
      </c>
      <c r="AA95" s="110">
        <v>0</v>
      </c>
      <c r="AB95" s="110">
        <v>0</v>
      </c>
      <c r="AC95" s="110">
        <v>0</v>
      </c>
      <c r="AD95" s="110">
        <v>0</v>
      </c>
      <c r="AE95" s="110">
        <v>0</v>
      </c>
      <c r="AF95" s="110">
        <v>0</v>
      </c>
      <c r="AG95" s="110">
        <v>0</v>
      </c>
      <c r="AH95" s="110">
        <v>0</v>
      </c>
      <c r="AI95" s="110">
        <v>0</v>
      </c>
      <c r="AJ95" s="110">
        <v>0</v>
      </c>
      <c r="AK95" s="110">
        <v>0</v>
      </c>
      <c r="AL95" s="110"/>
    </row>
    <row r="96" spans="3:38" s="89" customFormat="1" x14ac:dyDescent="0.25">
      <c r="C96" s="90"/>
      <c r="D96" s="91"/>
      <c r="E96" s="90"/>
      <c r="F96" s="90"/>
      <c r="G96" s="90"/>
      <c r="H96" s="90">
        <f t="shared" si="10"/>
        <v>0</v>
      </c>
      <c r="I96" s="90">
        <f>G96-H96</f>
        <v>0</v>
      </c>
      <c r="J96" s="135" t="str">
        <f t="shared" si="12"/>
        <v/>
      </c>
      <c r="K96" s="109" t="str">
        <f t="shared" si="15"/>
        <v/>
      </c>
      <c r="L96" s="90"/>
      <c r="M96" s="90"/>
      <c r="N96" s="90"/>
      <c r="O96" s="90"/>
      <c r="P96" s="90"/>
      <c r="Q96" s="90"/>
      <c r="R96" s="90"/>
      <c r="S96" s="90"/>
      <c r="T96" s="90"/>
      <c r="U96" s="90"/>
      <c r="V96" s="90"/>
      <c r="W96" s="90"/>
      <c r="X96" s="90" t="s">
        <v>238</v>
      </c>
      <c r="Y96" s="110"/>
      <c r="Z96" s="111" cm="1">
        <f t="array" ref="Z96:AK96">INDEX(L96:W96,COUNT(L96:W96))</f>
        <v>0</v>
      </c>
      <c r="AA96" s="110">
        <v>0</v>
      </c>
      <c r="AB96" s="110">
        <v>0</v>
      </c>
      <c r="AC96" s="110">
        <v>0</v>
      </c>
      <c r="AD96" s="110">
        <v>0</v>
      </c>
      <c r="AE96" s="110">
        <v>0</v>
      </c>
      <c r="AF96" s="110">
        <v>0</v>
      </c>
      <c r="AG96" s="110">
        <v>0</v>
      </c>
      <c r="AH96" s="110">
        <v>0</v>
      </c>
      <c r="AI96" s="110">
        <v>0</v>
      </c>
      <c r="AJ96" s="110">
        <v>0</v>
      </c>
      <c r="AK96" s="110">
        <v>0</v>
      </c>
      <c r="AL96" s="110"/>
    </row>
    <row r="97" spans="3:38" s="89" customFormat="1" x14ac:dyDescent="0.25">
      <c r="C97" s="90"/>
      <c r="D97" s="91"/>
      <c r="E97" s="90"/>
      <c r="F97" s="90"/>
      <c r="G97" s="90"/>
      <c r="H97" s="90">
        <f t="shared" si="10"/>
        <v>0</v>
      </c>
      <c r="I97" s="90">
        <f>G97-H97</f>
        <v>0</v>
      </c>
      <c r="J97" s="135" t="str">
        <f t="shared" si="12"/>
        <v/>
      </c>
      <c r="K97" s="109" t="str">
        <f t="shared" si="15"/>
        <v/>
      </c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 t="s">
        <v>238</v>
      </c>
      <c r="Y97" s="110"/>
      <c r="Z97" s="111" cm="1">
        <f t="array" ref="Z97:AK97">INDEX(L97:W97,COUNT(L97:W97))</f>
        <v>0</v>
      </c>
      <c r="AA97" s="110">
        <v>0</v>
      </c>
      <c r="AB97" s="110">
        <v>0</v>
      </c>
      <c r="AC97" s="110">
        <v>0</v>
      </c>
      <c r="AD97" s="110">
        <v>0</v>
      </c>
      <c r="AE97" s="110">
        <v>0</v>
      </c>
      <c r="AF97" s="110">
        <v>0</v>
      </c>
      <c r="AG97" s="110">
        <v>0</v>
      </c>
      <c r="AH97" s="110">
        <v>0</v>
      </c>
      <c r="AI97" s="110">
        <v>0</v>
      </c>
      <c r="AJ97" s="110">
        <v>0</v>
      </c>
      <c r="AK97" s="110">
        <v>0</v>
      </c>
      <c r="AL97" s="110"/>
    </row>
    <row r="98" spans="3:38" s="89" customFormat="1" x14ac:dyDescent="0.25">
      <c r="C98" s="90"/>
      <c r="D98" s="91"/>
      <c r="E98" s="90"/>
      <c r="F98" s="90"/>
      <c r="G98" s="90"/>
      <c r="H98" s="90">
        <f t="shared" si="10"/>
        <v>0</v>
      </c>
      <c r="I98" s="90">
        <f t="shared" si="11"/>
        <v>0</v>
      </c>
      <c r="J98" s="135" t="str">
        <f t="shared" si="12"/>
        <v/>
      </c>
      <c r="K98" s="109" t="str">
        <f t="shared" si="15"/>
        <v/>
      </c>
      <c r="L98" s="90"/>
      <c r="M98" s="90"/>
      <c r="N98" s="90"/>
      <c r="O98" s="90"/>
      <c r="P98" s="90"/>
      <c r="Q98" s="90"/>
      <c r="R98" s="90"/>
      <c r="S98" s="90"/>
      <c r="T98" s="90"/>
      <c r="U98" s="90"/>
      <c r="V98" s="90"/>
      <c r="W98" s="90"/>
      <c r="X98" s="90" t="s">
        <v>237</v>
      </c>
      <c r="Y98" s="110"/>
      <c r="Z98" s="111" cm="1">
        <f t="array" ref="Z98:AK98">INDEX(L98:W98,COUNT(L98:W98))</f>
        <v>0</v>
      </c>
      <c r="AA98" s="110">
        <v>0</v>
      </c>
      <c r="AB98" s="110">
        <v>0</v>
      </c>
      <c r="AC98" s="110">
        <v>0</v>
      </c>
      <c r="AD98" s="110">
        <v>0</v>
      </c>
      <c r="AE98" s="110">
        <v>0</v>
      </c>
      <c r="AF98" s="110">
        <v>0</v>
      </c>
      <c r="AG98" s="110">
        <v>0</v>
      </c>
      <c r="AH98" s="110">
        <v>0</v>
      </c>
      <c r="AI98" s="110">
        <v>0</v>
      </c>
      <c r="AJ98" s="110">
        <v>0</v>
      </c>
      <c r="AK98" s="110">
        <v>0</v>
      </c>
      <c r="AL98" s="110"/>
    </row>
    <row r="99" spans="3:38" s="89" customFormat="1" x14ac:dyDescent="0.25">
      <c r="C99" s="90"/>
      <c r="D99" s="91"/>
      <c r="E99" s="90"/>
      <c r="F99" s="90"/>
      <c r="G99" s="90"/>
      <c r="H99" s="90">
        <f t="shared" si="10"/>
        <v>0</v>
      </c>
      <c r="I99" s="90">
        <f t="shared" si="11"/>
        <v>0</v>
      </c>
      <c r="J99" s="135" t="str">
        <f t="shared" si="12"/>
        <v/>
      </c>
      <c r="K99" s="109" t="str">
        <f t="shared" si="15"/>
        <v/>
      </c>
      <c r="L99" s="90"/>
      <c r="M99" s="90"/>
      <c r="N99" s="90"/>
      <c r="O99" s="90"/>
      <c r="P99" s="90"/>
      <c r="Q99" s="90"/>
      <c r="R99" s="90"/>
      <c r="S99" s="90"/>
      <c r="T99" s="90"/>
      <c r="U99" s="90"/>
      <c r="V99" s="90"/>
      <c r="W99" s="90"/>
      <c r="X99" s="90" t="s">
        <v>237</v>
      </c>
      <c r="Y99" s="110"/>
      <c r="Z99" s="111" cm="1">
        <f t="array" ref="Z99:AK99">INDEX(L99:W99,COUNT(L99:W99))</f>
        <v>0</v>
      </c>
      <c r="AA99" s="110">
        <v>0</v>
      </c>
      <c r="AB99" s="110">
        <v>0</v>
      </c>
      <c r="AC99" s="110">
        <v>0</v>
      </c>
      <c r="AD99" s="110">
        <v>0</v>
      </c>
      <c r="AE99" s="110">
        <v>0</v>
      </c>
      <c r="AF99" s="110">
        <v>0</v>
      </c>
      <c r="AG99" s="110">
        <v>0</v>
      </c>
      <c r="AH99" s="110">
        <v>0</v>
      </c>
      <c r="AI99" s="110">
        <v>0</v>
      </c>
      <c r="AJ99" s="110">
        <v>0</v>
      </c>
      <c r="AK99" s="110">
        <v>0</v>
      </c>
      <c r="AL99" s="110"/>
    </row>
    <row r="100" spans="3:38" s="89" customFormat="1" x14ac:dyDescent="0.25">
      <c r="C100" s="90"/>
      <c r="D100" s="91"/>
      <c r="E100" s="90"/>
      <c r="F100" s="90"/>
      <c r="G100" s="90"/>
      <c r="H100" s="90">
        <f t="shared" si="10"/>
        <v>0</v>
      </c>
      <c r="I100" s="90">
        <f t="shared" si="11"/>
        <v>0</v>
      </c>
      <c r="J100" s="135" t="str">
        <f t="shared" si="12"/>
        <v/>
      </c>
      <c r="K100" s="109" t="str">
        <f t="shared" si="15"/>
        <v/>
      </c>
      <c r="L100" s="90"/>
      <c r="M100" s="90"/>
      <c r="N100" s="90"/>
      <c r="O100" s="90"/>
      <c r="P100" s="90"/>
      <c r="Q100" s="90"/>
      <c r="R100" s="90"/>
      <c r="S100" s="90"/>
      <c r="T100" s="90"/>
      <c r="U100" s="90"/>
      <c r="V100" s="90"/>
      <c r="W100" s="90"/>
      <c r="X100" s="90" t="s">
        <v>237</v>
      </c>
      <c r="Y100" s="110"/>
      <c r="Z100" s="111" cm="1">
        <f t="array" ref="Z100:AK100">INDEX(L100:W100,COUNT(L100:W100))</f>
        <v>0</v>
      </c>
      <c r="AA100" s="110">
        <v>0</v>
      </c>
      <c r="AB100" s="110">
        <v>0</v>
      </c>
      <c r="AC100" s="110">
        <v>0</v>
      </c>
      <c r="AD100" s="110">
        <v>0</v>
      </c>
      <c r="AE100" s="110">
        <v>0</v>
      </c>
      <c r="AF100" s="110">
        <v>0</v>
      </c>
      <c r="AG100" s="110">
        <v>0</v>
      </c>
      <c r="AH100" s="110">
        <v>0</v>
      </c>
      <c r="AI100" s="110">
        <v>0</v>
      </c>
      <c r="AJ100" s="110">
        <v>0</v>
      </c>
      <c r="AK100" s="110">
        <v>0</v>
      </c>
      <c r="AL100" s="110"/>
    </row>
    <row r="101" spans="3:38" s="89" customFormat="1" x14ac:dyDescent="0.25">
      <c r="C101" s="90"/>
      <c r="D101" s="91"/>
      <c r="E101" s="90"/>
      <c r="F101" s="90"/>
      <c r="G101" s="90"/>
      <c r="H101" s="90">
        <f t="shared" si="10"/>
        <v>0</v>
      </c>
      <c r="I101" s="90">
        <f t="shared" si="11"/>
        <v>0</v>
      </c>
      <c r="J101" s="135" t="str">
        <f t="shared" si="12"/>
        <v/>
      </c>
      <c r="K101" s="97"/>
      <c r="L101" s="90"/>
      <c r="M101" s="90"/>
      <c r="N101" s="90"/>
      <c r="O101" s="90"/>
      <c r="P101" s="90"/>
      <c r="Q101" s="90"/>
      <c r="R101" s="90"/>
      <c r="S101" s="90"/>
      <c r="T101" s="90"/>
      <c r="U101" s="90"/>
      <c r="V101" s="90"/>
      <c r="W101" s="90"/>
      <c r="X101" s="90" t="s">
        <v>237</v>
      </c>
    </row>
    <row r="102" spans="3:38" s="89" customFormat="1" x14ac:dyDescent="0.25">
      <c r="C102" s="90"/>
      <c r="D102" s="91"/>
      <c r="E102" s="90"/>
      <c r="F102" s="90"/>
      <c r="G102" s="90"/>
      <c r="H102" s="90">
        <f t="shared" si="10"/>
        <v>0</v>
      </c>
      <c r="I102" s="90">
        <f t="shared" si="11"/>
        <v>0</v>
      </c>
      <c r="J102" s="135" t="str">
        <f t="shared" si="12"/>
        <v/>
      </c>
      <c r="K102" s="109" t="str">
        <f>IF(L102="","",I102/Z102)</f>
        <v/>
      </c>
      <c r="L102" s="90"/>
      <c r="M102" s="90"/>
      <c r="N102" s="90"/>
      <c r="O102" s="90"/>
      <c r="P102" s="90"/>
      <c r="Q102" s="90"/>
      <c r="R102" s="90"/>
      <c r="S102" s="90"/>
      <c r="T102" s="90"/>
      <c r="U102" s="90"/>
      <c r="V102" s="90"/>
      <c r="W102" s="90"/>
      <c r="X102" s="90" t="s">
        <v>237</v>
      </c>
      <c r="Y102" s="110"/>
      <c r="Z102" s="111" cm="1">
        <f t="array" ref="Z102:AK102">INDEX(L102:W102,COUNT(L102:W102))</f>
        <v>0</v>
      </c>
      <c r="AA102" s="110">
        <v>0</v>
      </c>
      <c r="AB102" s="110">
        <v>0</v>
      </c>
      <c r="AC102" s="110">
        <v>0</v>
      </c>
      <c r="AD102" s="110">
        <v>0</v>
      </c>
      <c r="AE102" s="110">
        <v>0</v>
      </c>
      <c r="AF102" s="110">
        <v>0</v>
      </c>
      <c r="AG102" s="110">
        <v>0</v>
      </c>
      <c r="AH102" s="110">
        <v>0</v>
      </c>
      <c r="AI102" s="110">
        <v>0</v>
      </c>
      <c r="AJ102" s="110">
        <v>0</v>
      </c>
      <c r="AK102" s="110">
        <v>0</v>
      </c>
      <c r="AL102" s="110"/>
    </row>
    <row r="103" spans="3:38" s="89" customFormat="1" x14ac:dyDescent="0.25">
      <c r="C103" s="90"/>
      <c r="D103" s="91"/>
      <c r="E103" s="90"/>
      <c r="F103" s="90"/>
      <c r="G103" s="90"/>
      <c r="H103" s="90">
        <f t="shared" si="10"/>
        <v>0</v>
      </c>
      <c r="I103" s="90">
        <f t="shared" si="11"/>
        <v>0</v>
      </c>
      <c r="J103" s="135" t="str">
        <f t="shared" si="12"/>
        <v/>
      </c>
      <c r="K103" s="97"/>
      <c r="L103" s="90"/>
      <c r="M103" s="90"/>
      <c r="N103" s="90"/>
      <c r="O103" s="90"/>
      <c r="P103" s="90"/>
      <c r="Q103" s="90"/>
      <c r="R103" s="90"/>
      <c r="S103" s="90"/>
      <c r="T103" s="90"/>
      <c r="U103" s="90"/>
      <c r="V103" s="90"/>
      <c r="W103" s="90"/>
      <c r="X103" s="90" t="s">
        <v>237</v>
      </c>
    </row>
    <row r="104" spans="3:38" s="89" customFormat="1" x14ac:dyDescent="0.25">
      <c r="C104" s="90"/>
      <c r="D104" s="91"/>
      <c r="E104" s="90"/>
      <c r="F104" s="90"/>
      <c r="G104" s="90"/>
      <c r="H104" s="90">
        <f t="shared" si="10"/>
        <v>0</v>
      </c>
      <c r="I104" s="90">
        <f t="shared" si="11"/>
        <v>0</v>
      </c>
      <c r="J104" s="135" t="str">
        <f t="shared" si="12"/>
        <v/>
      </c>
      <c r="K104" s="109" t="str">
        <f>IF(L104="","",I104/Z104)</f>
        <v/>
      </c>
      <c r="L104" s="90"/>
      <c r="M104" s="90"/>
      <c r="N104" s="90"/>
      <c r="O104" s="90"/>
      <c r="P104" s="90"/>
      <c r="Q104" s="90"/>
      <c r="R104" s="90"/>
      <c r="S104" s="90"/>
      <c r="T104" s="90"/>
      <c r="U104" s="90"/>
      <c r="V104" s="90"/>
      <c r="W104" s="90"/>
      <c r="X104" s="90" t="s">
        <v>237</v>
      </c>
      <c r="Y104" s="110"/>
      <c r="Z104" s="111" cm="1">
        <f t="array" ref="Z104:AK104">INDEX(L104:W104,COUNT(L104:W104))</f>
        <v>0</v>
      </c>
      <c r="AA104" s="110">
        <v>0</v>
      </c>
      <c r="AB104" s="110">
        <v>0</v>
      </c>
      <c r="AC104" s="110">
        <v>0</v>
      </c>
      <c r="AD104" s="110">
        <v>0</v>
      </c>
      <c r="AE104" s="110">
        <v>0</v>
      </c>
      <c r="AF104" s="110">
        <v>0</v>
      </c>
      <c r="AG104" s="110">
        <v>0</v>
      </c>
      <c r="AH104" s="110">
        <v>0</v>
      </c>
      <c r="AI104" s="110">
        <v>0</v>
      </c>
      <c r="AJ104" s="110">
        <v>0</v>
      </c>
      <c r="AK104" s="110">
        <v>0</v>
      </c>
      <c r="AL104" s="110"/>
    </row>
    <row r="105" spans="3:38" s="89" customFormat="1" x14ac:dyDescent="0.25">
      <c r="C105" s="90"/>
      <c r="D105" s="91"/>
      <c r="E105" s="90"/>
      <c r="F105" s="90"/>
      <c r="G105" s="90"/>
      <c r="H105" s="90">
        <f t="shared" si="10"/>
        <v>0</v>
      </c>
      <c r="I105" s="90">
        <f t="shared" si="11"/>
        <v>0</v>
      </c>
      <c r="J105" s="135" t="str">
        <f t="shared" si="12"/>
        <v/>
      </c>
      <c r="K105" s="97"/>
      <c r="L105" s="90"/>
      <c r="M105" s="90"/>
      <c r="N105" s="90"/>
      <c r="O105" s="90"/>
      <c r="P105" s="90"/>
      <c r="Q105" s="90"/>
      <c r="R105" s="90"/>
      <c r="S105" s="90"/>
      <c r="T105" s="90"/>
      <c r="U105" s="90"/>
      <c r="V105" s="90"/>
      <c r="W105" s="90"/>
      <c r="X105" s="90" t="s">
        <v>237</v>
      </c>
    </row>
    <row r="106" spans="3:38" s="89" customFormat="1" x14ac:dyDescent="0.25">
      <c r="C106" s="90" t="s">
        <v>292</v>
      </c>
      <c r="D106" s="91" t="s">
        <v>23</v>
      </c>
      <c r="E106" s="90" t="s">
        <v>153</v>
      </c>
      <c r="F106" s="90" t="s">
        <v>141</v>
      </c>
      <c r="G106" s="90">
        <f>SintéticoNC!J5</f>
        <v>1801472.7</v>
      </c>
      <c r="H106" s="90">
        <f>SintéticoNC!K5</f>
        <v>0</v>
      </c>
      <c r="I106" s="90">
        <f>SintéticoNC!M5</f>
        <v>1814033.9908278328</v>
      </c>
      <c r="J106" s="135">
        <f>SintéticoNC!N5</f>
        <v>0</v>
      </c>
      <c r="K106" s="109" t="str">
        <f t="shared" ref="K106:K151" si="16">IF(L106="","",I106/Z106)</f>
        <v/>
      </c>
      <c r="L106" s="90"/>
      <c r="M106" s="90"/>
      <c r="N106" s="90"/>
      <c r="O106" s="90"/>
      <c r="P106" s="90"/>
      <c r="Q106" s="90"/>
      <c r="R106" s="90"/>
      <c r="S106" s="90"/>
      <c r="T106" s="90"/>
      <c r="U106" s="90"/>
      <c r="V106" s="90"/>
      <c r="W106" s="90"/>
      <c r="X106" s="90" t="s">
        <v>1</v>
      </c>
      <c r="Y106" s="110"/>
      <c r="Z106" s="111" cm="1">
        <f t="array" ref="Z106:AK106">INDEX(L106:W106,COUNT(L106:W106))</f>
        <v>0</v>
      </c>
      <c r="AA106" s="110">
        <v>0</v>
      </c>
      <c r="AB106" s="110">
        <v>0</v>
      </c>
      <c r="AC106" s="110">
        <v>0</v>
      </c>
      <c r="AD106" s="110">
        <v>0</v>
      </c>
      <c r="AE106" s="110">
        <v>0</v>
      </c>
      <c r="AF106" s="110">
        <v>0</v>
      </c>
      <c r="AG106" s="110">
        <v>0</v>
      </c>
      <c r="AH106" s="110">
        <v>0</v>
      </c>
      <c r="AI106" s="110">
        <v>0</v>
      </c>
      <c r="AJ106" s="110">
        <v>0</v>
      </c>
      <c r="AK106" s="110">
        <v>0</v>
      </c>
      <c r="AL106" s="110"/>
    </row>
    <row r="107" spans="3:38" s="89" customFormat="1" x14ac:dyDescent="0.25">
      <c r="C107" s="90" t="s">
        <v>292</v>
      </c>
      <c r="D107" s="91" t="s">
        <v>23</v>
      </c>
      <c r="E107" s="90" t="s">
        <v>153</v>
      </c>
      <c r="F107" s="90" t="s">
        <v>142</v>
      </c>
      <c r="G107" s="90">
        <f>SintéticoNC!J6</f>
        <v>524400</v>
      </c>
      <c r="H107" s="90">
        <f>SintéticoNC!K6</f>
        <v>0</v>
      </c>
      <c r="I107" s="90">
        <f>SintéticoNC!M6</f>
        <v>528056.53107599996</v>
      </c>
      <c r="J107" s="135">
        <f>SintéticoNC!N6</f>
        <v>0</v>
      </c>
      <c r="K107" s="109" t="str">
        <f t="shared" si="16"/>
        <v/>
      </c>
      <c r="L107" s="90"/>
      <c r="M107" s="90"/>
      <c r="N107" s="90"/>
      <c r="O107" s="90"/>
      <c r="P107" s="90"/>
      <c r="Q107" s="90"/>
      <c r="R107" s="90"/>
      <c r="S107" s="90"/>
      <c r="T107" s="90"/>
      <c r="U107" s="90"/>
      <c r="V107" s="90"/>
      <c r="W107" s="90"/>
      <c r="X107" s="90" t="s">
        <v>1</v>
      </c>
      <c r="Y107" s="110"/>
      <c r="Z107" s="111" cm="1">
        <f t="array" ref="Z107:AK107">INDEX(L107:W107,COUNT(L107:W107))</f>
        <v>0</v>
      </c>
      <c r="AA107" s="110">
        <v>0</v>
      </c>
      <c r="AB107" s="110">
        <v>0</v>
      </c>
      <c r="AC107" s="110">
        <v>0</v>
      </c>
      <c r="AD107" s="110">
        <v>0</v>
      </c>
      <c r="AE107" s="110">
        <v>0</v>
      </c>
      <c r="AF107" s="110">
        <v>0</v>
      </c>
      <c r="AG107" s="110">
        <v>0</v>
      </c>
      <c r="AH107" s="110">
        <v>0</v>
      </c>
      <c r="AI107" s="110">
        <v>0</v>
      </c>
      <c r="AJ107" s="110">
        <v>0</v>
      </c>
      <c r="AK107" s="110">
        <v>0</v>
      </c>
      <c r="AL107" s="110"/>
    </row>
    <row r="108" spans="3:38" s="89" customFormat="1" x14ac:dyDescent="0.25">
      <c r="C108" s="90" t="s">
        <v>292</v>
      </c>
      <c r="D108" s="91" t="s">
        <v>23</v>
      </c>
      <c r="E108" s="90" t="s">
        <v>153</v>
      </c>
      <c r="F108" s="90" t="s">
        <v>143</v>
      </c>
      <c r="G108" s="90">
        <f>SintéticoNC!J7</f>
        <v>5225812</v>
      </c>
      <c r="H108" s="90">
        <f>SintéticoNC!K7</f>
        <v>0</v>
      </c>
      <c r="I108" s="90">
        <f>SintéticoNC!M7</f>
        <v>5262250.4896554798</v>
      </c>
      <c r="J108" s="135">
        <f>SintéticoNC!N7</f>
        <v>0</v>
      </c>
      <c r="K108" s="109" t="str">
        <f t="shared" si="16"/>
        <v/>
      </c>
      <c r="L108" s="90"/>
      <c r="M108" s="90"/>
      <c r="N108" s="90"/>
      <c r="O108" s="90"/>
      <c r="P108" s="90"/>
      <c r="Q108" s="90"/>
      <c r="R108" s="90"/>
      <c r="S108" s="90"/>
      <c r="T108" s="90"/>
      <c r="U108" s="90"/>
      <c r="V108" s="90"/>
      <c r="W108" s="90"/>
      <c r="X108" s="90" t="s">
        <v>1</v>
      </c>
      <c r="Y108" s="110"/>
      <c r="Z108" s="111" cm="1">
        <f t="array" ref="Z108:AK108">INDEX(L108:W108,COUNT(L108:W108))</f>
        <v>0</v>
      </c>
      <c r="AA108" s="110">
        <v>0</v>
      </c>
      <c r="AB108" s="110">
        <v>0</v>
      </c>
      <c r="AC108" s="110">
        <v>0</v>
      </c>
      <c r="AD108" s="110">
        <v>0</v>
      </c>
      <c r="AE108" s="110">
        <v>0</v>
      </c>
      <c r="AF108" s="110">
        <v>0</v>
      </c>
      <c r="AG108" s="110">
        <v>0</v>
      </c>
      <c r="AH108" s="110">
        <v>0</v>
      </c>
      <c r="AI108" s="110">
        <v>0</v>
      </c>
      <c r="AJ108" s="110">
        <v>0</v>
      </c>
      <c r="AK108" s="110">
        <v>0</v>
      </c>
      <c r="AL108" s="110"/>
    </row>
    <row r="109" spans="3:38" s="89" customFormat="1" x14ac:dyDescent="0.25">
      <c r="C109" s="90" t="s">
        <v>292</v>
      </c>
      <c r="D109" s="91" t="s">
        <v>27</v>
      </c>
      <c r="E109" s="90" t="s">
        <v>153</v>
      </c>
      <c r="F109" s="90" t="s">
        <v>144</v>
      </c>
      <c r="G109" s="90">
        <f>SintéticoNC!J8</f>
        <v>13278264.4</v>
      </c>
      <c r="H109" s="90">
        <f>SintéticoNC!K8</f>
        <v>0</v>
      </c>
      <c r="I109" s="90">
        <f>SintéticoNC!M8</f>
        <v>13370850.949225677</v>
      </c>
      <c r="J109" s="135">
        <f>SintéticoNC!N8</f>
        <v>0</v>
      </c>
      <c r="K109" s="109" t="str">
        <f t="shared" si="16"/>
        <v/>
      </c>
      <c r="L109" s="90"/>
      <c r="M109" s="90"/>
      <c r="N109" s="90"/>
      <c r="O109" s="90"/>
      <c r="P109" s="90"/>
      <c r="Q109" s="90"/>
      <c r="R109" s="90"/>
      <c r="S109" s="90"/>
      <c r="T109" s="90"/>
      <c r="U109" s="90"/>
      <c r="V109" s="90"/>
      <c r="W109" s="90"/>
      <c r="X109" s="90" t="s">
        <v>1</v>
      </c>
      <c r="Y109" s="110"/>
      <c r="Z109" s="111" cm="1">
        <f t="array" ref="Z109:AK109">INDEX(L109:W109,COUNT(L109:W109))</f>
        <v>0</v>
      </c>
      <c r="AA109" s="110">
        <v>0</v>
      </c>
      <c r="AB109" s="110">
        <v>0</v>
      </c>
      <c r="AC109" s="110">
        <v>0</v>
      </c>
      <c r="AD109" s="110">
        <v>0</v>
      </c>
      <c r="AE109" s="110">
        <v>0</v>
      </c>
      <c r="AF109" s="110">
        <v>0</v>
      </c>
      <c r="AG109" s="110">
        <v>0</v>
      </c>
      <c r="AH109" s="110">
        <v>0</v>
      </c>
      <c r="AI109" s="110">
        <v>0</v>
      </c>
      <c r="AJ109" s="110">
        <v>0</v>
      </c>
      <c r="AK109" s="110">
        <v>0</v>
      </c>
      <c r="AL109" s="110"/>
    </row>
    <row r="110" spans="3:38" s="89" customFormat="1" x14ac:dyDescent="0.25">
      <c r="C110" s="90" t="s">
        <v>292</v>
      </c>
      <c r="D110" s="91" t="s">
        <v>29</v>
      </c>
      <c r="E110" s="90" t="s">
        <v>153</v>
      </c>
      <c r="F110" s="90" t="s">
        <v>145</v>
      </c>
      <c r="G110" s="90">
        <f>SintéticoNC!J9</f>
        <v>1544762</v>
      </c>
      <c r="H110" s="90">
        <f>SintéticoNC!K9</f>
        <v>0</v>
      </c>
      <c r="I110" s="90">
        <f>SintéticoNC!M9</f>
        <v>1555533.3010259799</v>
      </c>
      <c r="J110" s="135">
        <f>SintéticoNC!N9</f>
        <v>0</v>
      </c>
      <c r="K110" s="109" t="str">
        <f t="shared" si="16"/>
        <v/>
      </c>
      <c r="L110" s="90"/>
      <c r="M110" s="90"/>
      <c r="N110" s="90"/>
      <c r="O110" s="90"/>
      <c r="P110" s="90"/>
      <c r="Q110" s="90"/>
      <c r="R110" s="90"/>
      <c r="S110" s="90"/>
      <c r="T110" s="90"/>
      <c r="U110" s="90"/>
      <c r="V110" s="90"/>
      <c r="W110" s="90"/>
      <c r="X110" s="90" t="s">
        <v>1</v>
      </c>
      <c r="Y110" s="110"/>
      <c r="Z110" s="111" cm="1">
        <f t="array" ref="Z110:AK110">INDEX(L110:W110,COUNT(L110:W110))</f>
        <v>0</v>
      </c>
      <c r="AA110" s="110">
        <v>0</v>
      </c>
      <c r="AB110" s="110">
        <v>0</v>
      </c>
      <c r="AC110" s="110">
        <v>0</v>
      </c>
      <c r="AD110" s="110">
        <v>0</v>
      </c>
      <c r="AE110" s="110">
        <v>0</v>
      </c>
      <c r="AF110" s="110">
        <v>0</v>
      </c>
      <c r="AG110" s="110">
        <v>0</v>
      </c>
      <c r="AH110" s="110">
        <v>0</v>
      </c>
      <c r="AI110" s="110">
        <v>0</v>
      </c>
      <c r="AJ110" s="110">
        <v>0</v>
      </c>
      <c r="AK110" s="110">
        <v>0</v>
      </c>
      <c r="AL110" s="110"/>
    </row>
    <row r="111" spans="3:38" s="89" customFormat="1" x14ac:dyDescent="0.25">
      <c r="C111" s="90" t="s">
        <v>292</v>
      </c>
      <c r="D111" s="91" t="s">
        <v>31</v>
      </c>
      <c r="E111" s="90" t="s">
        <v>153</v>
      </c>
      <c r="F111" s="90" t="s">
        <v>146</v>
      </c>
      <c r="G111" s="90">
        <f>SintéticoNC!J10</f>
        <v>1411014.44</v>
      </c>
      <c r="H111" s="90">
        <f>SintéticoNC!K10</f>
        <v>0</v>
      </c>
      <c r="I111" s="90">
        <f>SintéticoNC!M10</f>
        <v>1420853.1473770875</v>
      </c>
      <c r="J111" s="135">
        <f>SintéticoNC!N10</f>
        <v>0</v>
      </c>
      <c r="K111" s="109" t="str">
        <f t="shared" si="16"/>
        <v/>
      </c>
      <c r="L111" s="90"/>
      <c r="M111" s="90"/>
      <c r="N111" s="90"/>
      <c r="O111" s="90"/>
      <c r="P111" s="90"/>
      <c r="Q111" s="90"/>
      <c r="R111" s="90"/>
      <c r="S111" s="90"/>
      <c r="T111" s="90"/>
      <c r="U111" s="90"/>
      <c r="V111" s="90"/>
      <c r="W111" s="90"/>
      <c r="X111" s="90" t="s">
        <v>1</v>
      </c>
      <c r="Y111" s="110"/>
      <c r="Z111" s="111" cm="1">
        <f t="array" ref="Z111:AK111">INDEX(L111:W111,COUNT(L111:W111))</f>
        <v>0</v>
      </c>
      <c r="AA111" s="110">
        <v>0</v>
      </c>
      <c r="AB111" s="110">
        <v>0</v>
      </c>
      <c r="AC111" s="110">
        <v>0</v>
      </c>
      <c r="AD111" s="110">
        <v>0</v>
      </c>
      <c r="AE111" s="110">
        <v>0</v>
      </c>
      <c r="AF111" s="110">
        <v>0</v>
      </c>
      <c r="AG111" s="110">
        <v>0</v>
      </c>
      <c r="AH111" s="110">
        <v>0</v>
      </c>
      <c r="AI111" s="110">
        <v>0</v>
      </c>
      <c r="AJ111" s="110">
        <v>0</v>
      </c>
      <c r="AK111" s="110">
        <v>0</v>
      </c>
      <c r="AL111" s="110"/>
    </row>
    <row r="112" spans="3:38" s="89" customFormat="1" x14ac:dyDescent="0.25">
      <c r="C112" s="90" t="s">
        <v>292</v>
      </c>
      <c r="D112" s="91" t="s">
        <v>31</v>
      </c>
      <c r="E112" s="90" t="s">
        <v>153</v>
      </c>
      <c r="F112" s="90" t="s">
        <v>147</v>
      </c>
      <c r="G112" s="90">
        <f>SintéticoNC!J11</f>
        <v>2245000</v>
      </c>
      <c r="H112" s="90">
        <f>SintéticoNC!K11</f>
        <v>0</v>
      </c>
      <c r="I112" s="90">
        <f>SintéticoNC!M11</f>
        <v>2260653.9135500002</v>
      </c>
      <c r="J112" s="135">
        <f>SintéticoNC!N11</f>
        <v>0</v>
      </c>
      <c r="K112" s="109" t="str">
        <f t="shared" si="16"/>
        <v/>
      </c>
      <c r="L112" s="90"/>
      <c r="M112" s="90"/>
      <c r="N112" s="90"/>
      <c r="O112" s="90"/>
      <c r="P112" s="90"/>
      <c r="Q112" s="90"/>
      <c r="R112" s="90"/>
      <c r="S112" s="90"/>
      <c r="T112" s="90"/>
      <c r="U112" s="90"/>
      <c r="V112" s="90"/>
      <c r="W112" s="90"/>
      <c r="X112" s="90" t="s">
        <v>1</v>
      </c>
      <c r="Y112" s="110"/>
      <c r="Z112" s="111" cm="1">
        <f t="array" ref="Z112:AK112">INDEX(L112:W112,COUNT(L112:W112))</f>
        <v>0</v>
      </c>
      <c r="AA112" s="110">
        <v>0</v>
      </c>
      <c r="AB112" s="110">
        <v>0</v>
      </c>
      <c r="AC112" s="110">
        <v>0</v>
      </c>
      <c r="AD112" s="110">
        <v>0</v>
      </c>
      <c r="AE112" s="110">
        <v>0</v>
      </c>
      <c r="AF112" s="110">
        <v>0</v>
      </c>
      <c r="AG112" s="110">
        <v>0</v>
      </c>
      <c r="AH112" s="110">
        <v>0</v>
      </c>
      <c r="AI112" s="110">
        <v>0</v>
      </c>
      <c r="AJ112" s="110">
        <v>0</v>
      </c>
      <c r="AK112" s="110">
        <v>0</v>
      </c>
      <c r="AL112" s="110"/>
    </row>
    <row r="113" spans="3:38" s="89" customFormat="1" x14ac:dyDescent="0.25">
      <c r="C113" s="90" t="s">
        <v>292</v>
      </c>
      <c r="D113" s="91" t="s">
        <v>31</v>
      </c>
      <c r="E113" s="90" t="s">
        <v>153</v>
      </c>
      <c r="F113" s="90" t="s">
        <v>148</v>
      </c>
      <c r="G113" s="90">
        <f>SintéticoNC!J12</f>
        <v>2752000</v>
      </c>
      <c r="H113" s="90">
        <f>SintéticoNC!K12</f>
        <v>0</v>
      </c>
      <c r="I113" s="90">
        <f>SintéticoNC!M12</f>
        <v>2771189.1180799999</v>
      </c>
      <c r="J113" s="135">
        <f>SintéticoNC!N12</f>
        <v>0</v>
      </c>
      <c r="K113" s="109" t="str">
        <f t="shared" si="16"/>
        <v/>
      </c>
      <c r="L113" s="90"/>
      <c r="M113" s="90"/>
      <c r="N113" s="90"/>
      <c r="O113" s="90"/>
      <c r="P113" s="90"/>
      <c r="Q113" s="90"/>
      <c r="R113" s="90"/>
      <c r="S113" s="90"/>
      <c r="T113" s="90"/>
      <c r="U113" s="90"/>
      <c r="V113" s="90"/>
      <c r="W113" s="90"/>
      <c r="X113" s="90" t="s">
        <v>1</v>
      </c>
      <c r="Y113" s="110"/>
      <c r="Z113" s="111" cm="1">
        <f t="array" ref="Z113:AK113">INDEX(L113:W113,COUNT(L113:W113))</f>
        <v>0</v>
      </c>
      <c r="AA113" s="110">
        <v>0</v>
      </c>
      <c r="AB113" s="110">
        <v>0</v>
      </c>
      <c r="AC113" s="110">
        <v>0</v>
      </c>
      <c r="AD113" s="110">
        <v>0</v>
      </c>
      <c r="AE113" s="110">
        <v>0</v>
      </c>
      <c r="AF113" s="110">
        <v>0</v>
      </c>
      <c r="AG113" s="110">
        <v>0</v>
      </c>
      <c r="AH113" s="110">
        <v>0</v>
      </c>
      <c r="AI113" s="110">
        <v>0</v>
      </c>
      <c r="AJ113" s="110">
        <v>0</v>
      </c>
      <c r="AK113" s="110">
        <v>0</v>
      </c>
      <c r="AL113" s="110"/>
    </row>
    <row r="114" spans="3:38" s="89" customFormat="1" x14ac:dyDescent="0.25">
      <c r="C114" s="90" t="s">
        <v>292</v>
      </c>
      <c r="D114" s="91" t="s">
        <v>35</v>
      </c>
      <c r="E114" s="90" t="s">
        <v>153</v>
      </c>
      <c r="F114" s="90" t="s">
        <v>149</v>
      </c>
      <c r="G114" s="90">
        <f>SintéticoNC!J13</f>
        <v>750000</v>
      </c>
      <c r="H114" s="90">
        <f>SintéticoNC!K13</f>
        <v>0</v>
      </c>
      <c r="I114" s="90">
        <f>SintéticoNC!M13</f>
        <v>755229.59250000003</v>
      </c>
      <c r="J114" s="135">
        <f>SintéticoNC!N13</f>
        <v>0</v>
      </c>
      <c r="K114" s="109" t="str">
        <f t="shared" si="16"/>
        <v/>
      </c>
      <c r="L114" s="90"/>
      <c r="M114" s="90"/>
      <c r="N114" s="90"/>
      <c r="O114" s="90"/>
      <c r="P114" s="90"/>
      <c r="Q114" s="90"/>
      <c r="R114" s="90"/>
      <c r="S114" s="90"/>
      <c r="T114" s="90"/>
      <c r="U114" s="90"/>
      <c r="V114" s="90"/>
      <c r="W114" s="90"/>
      <c r="X114" s="90" t="s">
        <v>1</v>
      </c>
      <c r="Y114" s="110"/>
      <c r="Z114" s="111" cm="1">
        <f t="array" ref="Z114:AK114">INDEX(L114:W114,COUNT(L114:W114))</f>
        <v>0</v>
      </c>
      <c r="AA114" s="110">
        <v>0</v>
      </c>
      <c r="AB114" s="110">
        <v>0</v>
      </c>
      <c r="AC114" s="110">
        <v>0</v>
      </c>
      <c r="AD114" s="110">
        <v>0</v>
      </c>
      <c r="AE114" s="110">
        <v>0</v>
      </c>
      <c r="AF114" s="110">
        <v>0</v>
      </c>
      <c r="AG114" s="110">
        <v>0</v>
      </c>
      <c r="AH114" s="110">
        <v>0</v>
      </c>
      <c r="AI114" s="110">
        <v>0</v>
      </c>
      <c r="AJ114" s="110">
        <v>0</v>
      </c>
      <c r="AK114" s="110">
        <v>0</v>
      </c>
      <c r="AL114" s="110"/>
    </row>
    <row r="115" spans="3:38" s="89" customFormat="1" x14ac:dyDescent="0.25">
      <c r="C115" s="90" t="s">
        <v>292</v>
      </c>
      <c r="D115" s="91" t="s">
        <v>37</v>
      </c>
      <c r="E115" s="90" t="s">
        <v>153</v>
      </c>
      <c r="F115" s="90" t="s">
        <v>152</v>
      </c>
      <c r="G115" s="90">
        <f>SintéticoNC!J14</f>
        <v>490000</v>
      </c>
      <c r="H115" s="90">
        <f>SintéticoNC!K14</f>
        <v>0</v>
      </c>
      <c r="I115" s="90">
        <f>SintéticoNC!M14</f>
        <v>493416.66710000002</v>
      </c>
      <c r="J115" s="135">
        <f>SintéticoNC!N14</f>
        <v>0</v>
      </c>
      <c r="K115" s="109" t="str">
        <f t="shared" si="16"/>
        <v/>
      </c>
      <c r="L115" s="90"/>
      <c r="M115" s="90"/>
      <c r="N115" s="90"/>
      <c r="O115" s="90"/>
      <c r="P115" s="90"/>
      <c r="Q115" s="90"/>
      <c r="R115" s="90"/>
      <c r="S115" s="90"/>
      <c r="T115" s="90"/>
      <c r="U115" s="90"/>
      <c r="V115" s="90"/>
      <c r="W115" s="90"/>
      <c r="X115" s="90" t="s">
        <v>1</v>
      </c>
      <c r="Y115" s="110"/>
      <c r="Z115" s="111" cm="1">
        <f t="array" ref="Z115:AK115">INDEX(L115:W115,COUNT(L115:W115))</f>
        <v>0</v>
      </c>
      <c r="AA115" s="110">
        <v>0</v>
      </c>
      <c r="AB115" s="110">
        <v>0</v>
      </c>
      <c r="AC115" s="110">
        <v>0</v>
      </c>
      <c r="AD115" s="110">
        <v>0</v>
      </c>
      <c r="AE115" s="110">
        <v>0</v>
      </c>
      <c r="AF115" s="110">
        <v>0</v>
      </c>
      <c r="AG115" s="110">
        <v>0</v>
      </c>
      <c r="AH115" s="110">
        <v>0</v>
      </c>
      <c r="AI115" s="110">
        <v>0</v>
      </c>
      <c r="AJ115" s="110">
        <v>0</v>
      </c>
      <c r="AK115" s="110">
        <v>0</v>
      </c>
      <c r="AL115" s="110"/>
    </row>
    <row r="116" spans="3:38" s="89" customFormat="1" x14ac:dyDescent="0.25">
      <c r="C116" s="90" t="s">
        <v>292</v>
      </c>
      <c r="D116" s="91" t="s">
        <v>37</v>
      </c>
      <c r="E116" s="90" t="s">
        <v>153</v>
      </c>
      <c r="F116" s="90" t="s">
        <v>151</v>
      </c>
      <c r="G116" s="90">
        <f>SintéticoNC!J15</f>
        <v>831400</v>
      </c>
      <c r="H116" s="90">
        <f>SintéticoNC!K15</f>
        <v>0</v>
      </c>
      <c r="I116" s="90">
        <f>SintéticoNC!M15</f>
        <v>837197.17760599998</v>
      </c>
      <c r="J116" s="135">
        <f>SintéticoNC!N15</f>
        <v>0</v>
      </c>
      <c r="K116" s="109" t="str">
        <f t="shared" si="16"/>
        <v/>
      </c>
      <c r="L116" s="90"/>
      <c r="M116" s="90"/>
      <c r="N116" s="90"/>
      <c r="O116" s="90"/>
      <c r="P116" s="90"/>
      <c r="Q116" s="90"/>
      <c r="R116" s="90"/>
      <c r="S116" s="90"/>
      <c r="T116" s="90"/>
      <c r="U116" s="90"/>
      <c r="V116" s="90"/>
      <c r="W116" s="90"/>
      <c r="X116" s="90" t="s">
        <v>1</v>
      </c>
      <c r="Y116" s="110"/>
      <c r="Z116" s="111" cm="1">
        <f t="array" ref="Z116:AK116">INDEX(L116:W116,COUNT(L116:W116))</f>
        <v>0</v>
      </c>
      <c r="AA116" s="110">
        <v>0</v>
      </c>
      <c r="AB116" s="110">
        <v>0</v>
      </c>
      <c r="AC116" s="110">
        <v>0</v>
      </c>
      <c r="AD116" s="110">
        <v>0</v>
      </c>
      <c r="AE116" s="110">
        <v>0</v>
      </c>
      <c r="AF116" s="110">
        <v>0</v>
      </c>
      <c r="AG116" s="110">
        <v>0</v>
      </c>
      <c r="AH116" s="110">
        <v>0</v>
      </c>
      <c r="AI116" s="110">
        <v>0</v>
      </c>
      <c r="AJ116" s="110">
        <v>0</v>
      </c>
      <c r="AK116" s="110">
        <v>0</v>
      </c>
      <c r="AL116" s="110"/>
    </row>
    <row r="117" spans="3:38" s="89" customFormat="1" x14ac:dyDescent="0.25">
      <c r="C117" s="90" t="s">
        <v>292</v>
      </c>
      <c r="D117" s="91" t="s">
        <v>40</v>
      </c>
      <c r="E117" s="90" t="s">
        <v>153</v>
      </c>
      <c r="F117" s="90" t="s">
        <v>150</v>
      </c>
      <c r="G117" s="90">
        <f>SintéticoNC!J16</f>
        <v>207000</v>
      </c>
      <c r="H117" s="90">
        <f>SintéticoNC!K16</f>
        <v>0</v>
      </c>
      <c r="I117" s="90">
        <f>SintéticoNC!M16</f>
        <v>208443.36752999999</v>
      </c>
      <c r="J117" s="135">
        <f>SintéticoNC!N16</f>
        <v>0</v>
      </c>
      <c r="K117" s="109" t="str">
        <f t="shared" si="16"/>
        <v/>
      </c>
      <c r="L117" s="90"/>
      <c r="M117" s="90"/>
      <c r="N117" s="90"/>
      <c r="O117" s="90"/>
      <c r="P117" s="90"/>
      <c r="Q117" s="90"/>
      <c r="R117" s="90"/>
      <c r="S117" s="90"/>
      <c r="T117" s="90"/>
      <c r="U117" s="90"/>
      <c r="V117" s="90"/>
      <c r="W117" s="90"/>
      <c r="X117" s="90" t="s">
        <v>1</v>
      </c>
      <c r="Y117" s="110"/>
      <c r="Z117" s="111" cm="1">
        <f t="array" ref="Z117:AK117">INDEX(L117:W117,COUNT(L117:W117))</f>
        <v>0</v>
      </c>
      <c r="AA117" s="110">
        <v>0</v>
      </c>
      <c r="AB117" s="110">
        <v>0</v>
      </c>
      <c r="AC117" s="110">
        <v>0</v>
      </c>
      <c r="AD117" s="110">
        <v>0</v>
      </c>
      <c r="AE117" s="110">
        <v>0</v>
      </c>
      <c r="AF117" s="110">
        <v>0</v>
      </c>
      <c r="AG117" s="110">
        <v>0</v>
      </c>
      <c r="AH117" s="110">
        <v>0</v>
      </c>
      <c r="AI117" s="110">
        <v>0</v>
      </c>
      <c r="AJ117" s="110">
        <v>0</v>
      </c>
      <c r="AK117" s="110">
        <v>0</v>
      </c>
      <c r="AL117" s="110"/>
    </row>
    <row r="118" spans="3:38" s="89" customFormat="1" x14ac:dyDescent="0.25">
      <c r="C118" s="90" t="s">
        <v>292</v>
      </c>
      <c r="D118" s="91" t="s">
        <v>42</v>
      </c>
      <c r="E118" s="90" t="s">
        <v>153</v>
      </c>
      <c r="F118" s="90" t="s">
        <v>44</v>
      </c>
      <c r="G118" s="90">
        <f>SintéticoNC!J17</f>
        <v>97197.71</v>
      </c>
      <c r="H118" s="90">
        <f>SintéticoNC!K17</f>
        <v>0</v>
      </c>
      <c r="I118" s="90">
        <f>SintéticoNC!M17</f>
        <v>97875.449220310911</v>
      </c>
      <c r="J118" s="135">
        <f>SintéticoNC!N17</f>
        <v>0</v>
      </c>
      <c r="K118" s="109" t="str">
        <f t="shared" si="16"/>
        <v/>
      </c>
      <c r="L118" s="90"/>
      <c r="M118" s="90"/>
      <c r="N118" s="90"/>
      <c r="O118" s="90"/>
      <c r="P118" s="90"/>
      <c r="Q118" s="90"/>
      <c r="R118" s="90"/>
      <c r="S118" s="90"/>
      <c r="T118" s="90"/>
      <c r="U118" s="90"/>
      <c r="V118" s="90"/>
      <c r="W118" s="90"/>
      <c r="X118" s="90" t="s">
        <v>1</v>
      </c>
      <c r="Y118" s="110"/>
      <c r="Z118" s="111" cm="1">
        <f t="array" ref="Z118:AK118">INDEX(L118:W118,COUNT(L118:W118))</f>
        <v>0</v>
      </c>
      <c r="AA118" s="110">
        <v>0</v>
      </c>
      <c r="AB118" s="110">
        <v>0</v>
      </c>
      <c r="AC118" s="110">
        <v>0</v>
      </c>
      <c r="AD118" s="110">
        <v>0</v>
      </c>
      <c r="AE118" s="110">
        <v>0</v>
      </c>
      <c r="AF118" s="110">
        <v>0</v>
      </c>
      <c r="AG118" s="110">
        <v>0</v>
      </c>
      <c r="AH118" s="110">
        <v>0</v>
      </c>
      <c r="AI118" s="110">
        <v>0</v>
      </c>
      <c r="AJ118" s="110">
        <v>0</v>
      </c>
      <c r="AK118" s="110">
        <v>0</v>
      </c>
      <c r="AL118" s="110"/>
    </row>
    <row r="119" spans="3:38" s="89" customFormat="1" x14ac:dyDescent="0.25">
      <c r="C119" s="90" t="s">
        <v>292</v>
      </c>
      <c r="D119" s="91" t="s">
        <v>45</v>
      </c>
      <c r="E119" s="90" t="s">
        <v>153</v>
      </c>
      <c r="F119" s="90" t="s">
        <v>47</v>
      </c>
      <c r="G119" s="90">
        <f>SintéticoNC!J18</f>
        <v>138500</v>
      </c>
      <c r="H119" s="90">
        <f>SintéticoNC!K18</f>
        <v>0</v>
      </c>
      <c r="I119" s="90">
        <f>SintéticoNC!M18</f>
        <v>139465.73141499999</v>
      </c>
      <c r="J119" s="135">
        <f>SintéticoNC!N18</f>
        <v>0</v>
      </c>
      <c r="K119" s="109" t="str">
        <f t="shared" si="16"/>
        <v/>
      </c>
      <c r="L119" s="90"/>
      <c r="M119" s="90"/>
      <c r="N119" s="90"/>
      <c r="O119" s="90"/>
      <c r="P119" s="90"/>
      <c r="Q119" s="90"/>
      <c r="R119" s="90"/>
      <c r="S119" s="90"/>
      <c r="T119" s="90"/>
      <c r="U119" s="90"/>
      <c r="V119" s="90"/>
      <c r="W119" s="90"/>
      <c r="X119" s="90" t="s">
        <v>1</v>
      </c>
      <c r="Y119" s="110"/>
      <c r="Z119" s="111" cm="1">
        <f t="array" ref="Z119:AK119">INDEX(L119:W119,COUNT(L119:W119))</f>
        <v>0</v>
      </c>
      <c r="AA119" s="110">
        <v>0</v>
      </c>
      <c r="AB119" s="110">
        <v>0</v>
      </c>
      <c r="AC119" s="110">
        <v>0</v>
      </c>
      <c r="AD119" s="110">
        <v>0</v>
      </c>
      <c r="AE119" s="110">
        <v>0</v>
      </c>
      <c r="AF119" s="110">
        <v>0</v>
      </c>
      <c r="AG119" s="110">
        <v>0</v>
      </c>
      <c r="AH119" s="110">
        <v>0</v>
      </c>
      <c r="AI119" s="110">
        <v>0</v>
      </c>
      <c r="AJ119" s="110">
        <v>0</v>
      </c>
      <c r="AK119" s="110">
        <v>0</v>
      </c>
      <c r="AL119" s="110"/>
    </row>
    <row r="120" spans="3:38" s="89" customFormat="1" x14ac:dyDescent="0.25">
      <c r="C120" s="90" t="s">
        <v>292</v>
      </c>
      <c r="D120" s="91" t="s">
        <v>48</v>
      </c>
      <c r="E120" s="90" t="s">
        <v>153</v>
      </c>
      <c r="F120" s="90" t="s">
        <v>50</v>
      </c>
      <c r="G120" s="90">
        <f>SintéticoNC!J19</f>
        <v>207000</v>
      </c>
      <c r="H120" s="90">
        <f>SintéticoNC!K19</f>
        <v>0</v>
      </c>
      <c r="I120" s="90">
        <f>SintéticoNC!M19</f>
        <v>208443.36752999999</v>
      </c>
      <c r="J120" s="135">
        <f>SintéticoNC!N19</f>
        <v>0</v>
      </c>
      <c r="K120" s="109" t="str">
        <f t="shared" si="16"/>
        <v/>
      </c>
      <c r="L120" s="90"/>
      <c r="M120" s="90"/>
      <c r="N120" s="90"/>
      <c r="O120" s="90"/>
      <c r="P120" s="90"/>
      <c r="Q120" s="90"/>
      <c r="R120" s="90"/>
      <c r="S120" s="90"/>
      <c r="T120" s="90"/>
      <c r="U120" s="90"/>
      <c r="V120" s="90"/>
      <c r="W120" s="90"/>
      <c r="X120" s="90" t="s">
        <v>1</v>
      </c>
      <c r="Y120" s="110"/>
      <c r="Z120" s="111" cm="1">
        <f t="array" ref="Z120:AK120">INDEX(L120:W120,COUNT(L120:W120))</f>
        <v>0</v>
      </c>
      <c r="AA120" s="110">
        <v>0</v>
      </c>
      <c r="AB120" s="110">
        <v>0</v>
      </c>
      <c r="AC120" s="110">
        <v>0</v>
      </c>
      <c r="AD120" s="110">
        <v>0</v>
      </c>
      <c r="AE120" s="110">
        <v>0</v>
      </c>
      <c r="AF120" s="110">
        <v>0</v>
      </c>
      <c r="AG120" s="110">
        <v>0</v>
      </c>
      <c r="AH120" s="110">
        <v>0</v>
      </c>
      <c r="AI120" s="110">
        <v>0</v>
      </c>
      <c r="AJ120" s="110">
        <v>0</v>
      </c>
      <c r="AK120" s="110">
        <v>0</v>
      </c>
      <c r="AL120" s="110"/>
    </row>
    <row r="121" spans="3:38" s="89" customFormat="1" x14ac:dyDescent="0.25">
      <c r="C121" s="90" t="s">
        <v>292</v>
      </c>
      <c r="D121" s="91" t="s">
        <v>51</v>
      </c>
      <c r="E121" s="90" t="s">
        <v>153</v>
      </c>
      <c r="F121" s="90" t="s">
        <v>53</v>
      </c>
      <c r="G121" s="90">
        <f>SintéticoNC!J20</f>
        <v>208000</v>
      </c>
      <c r="H121" s="90">
        <f>SintéticoNC!K20</f>
        <v>0</v>
      </c>
      <c r="I121" s="90">
        <f>SintéticoNC!M20</f>
        <v>209450.34031999999</v>
      </c>
      <c r="J121" s="135">
        <f>SintéticoNC!N20</f>
        <v>0</v>
      </c>
      <c r="K121" s="109" t="str">
        <f t="shared" si="16"/>
        <v/>
      </c>
      <c r="L121" s="90"/>
      <c r="M121" s="90"/>
      <c r="N121" s="90"/>
      <c r="O121" s="90"/>
      <c r="P121" s="90"/>
      <c r="Q121" s="90"/>
      <c r="R121" s="90"/>
      <c r="S121" s="90"/>
      <c r="T121" s="90"/>
      <c r="U121" s="90"/>
      <c r="V121" s="90"/>
      <c r="W121" s="90"/>
      <c r="X121" s="90" t="s">
        <v>1</v>
      </c>
      <c r="Y121" s="110"/>
      <c r="Z121" s="111" cm="1">
        <f t="array" ref="Z121:AK121">INDEX(L121:W121,COUNT(L121:W121))</f>
        <v>0</v>
      </c>
      <c r="AA121" s="110">
        <v>0</v>
      </c>
      <c r="AB121" s="110">
        <v>0</v>
      </c>
      <c r="AC121" s="110">
        <v>0</v>
      </c>
      <c r="AD121" s="110">
        <v>0</v>
      </c>
      <c r="AE121" s="110">
        <v>0</v>
      </c>
      <c r="AF121" s="110">
        <v>0</v>
      </c>
      <c r="AG121" s="110">
        <v>0</v>
      </c>
      <c r="AH121" s="110">
        <v>0</v>
      </c>
      <c r="AI121" s="110">
        <v>0</v>
      </c>
      <c r="AJ121" s="110">
        <v>0</v>
      </c>
      <c r="AK121" s="110">
        <v>0</v>
      </c>
      <c r="AL121" s="110"/>
    </row>
    <row r="122" spans="3:38" s="89" customFormat="1" x14ac:dyDescent="0.25">
      <c r="C122" s="90" t="s">
        <v>292</v>
      </c>
      <c r="D122" s="91" t="s">
        <v>54</v>
      </c>
      <c r="E122" s="90" t="s">
        <v>153</v>
      </c>
      <c r="F122" s="90" t="s">
        <v>56</v>
      </c>
      <c r="G122" s="90">
        <f>SintéticoNC!J21</f>
        <v>400000</v>
      </c>
      <c r="H122" s="90">
        <f>SintéticoNC!K21</f>
        <v>0</v>
      </c>
      <c r="I122" s="90">
        <f>SintéticoNC!M21</f>
        <v>402789.11599999998</v>
      </c>
      <c r="J122" s="135">
        <f>SintéticoNC!N21</f>
        <v>0</v>
      </c>
      <c r="K122" s="109" t="str">
        <f t="shared" si="16"/>
        <v/>
      </c>
      <c r="L122" s="90"/>
      <c r="M122" s="90"/>
      <c r="N122" s="90"/>
      <c r="O122" s="90"/>
      <c r="P122" s="90"/>
      <c r="Q122" s="90"/>
      <c r="R122" s="90"/>
      <c r="S122" s="90"/>
      <c r="T122" s="90"/>
      <c r="U122" s="90"/>
      <c r="V122" s="90"/>
      <c r="W122" s="90"/>
      <c r="X122" s="90" t="s">
        <v>1</v>
      </c>
      <c r="Y122" s="110"/>
      <c r="Z122" s="111" cm="1">
        <f t="array" ref="Z122:AK122">INDEX(L122:W122,COUNT(L122:W122))</f>
        <v>0</v>
      </c>
      <c r="AA122" s="110">
        <v>0</v>
      </c>
      <c r="AB122" s="110">
        <v>0</v>
      </c>
      <c r="AC122" s="110">
        <v>0</v>
      </c>
      <c r="AD122" s="110">
        <v>0</v>
      </c>
      <c r="AE122" s="110">
        <v>0</v>
      </c>
      <c r="AF122" s="110">
        <v>0</v>
      </c>
      <c r="AG122" s="110">
        <v>0</v>
      </c>
      <c r="AH122" s="110">
        <v>0</v>
      </c>
      <c r="AI122" s="110">
        <v>0</v>
      </c>
      <c r="AJ122" s="110">
        <v>0</v>
      </c>
      <c r="AK122" s="110">
        <v>0</v>
      </c>
      <c r="AL122" s="110"/>
    </row>
    <row r="123" spans="3:38" s="89" customFormat="1" x14ac:dyDescent="0.25">
      <c r="C123" s="90" t="s">
        <v>292</v>
      </c>
      <c r="D123" s="91" t="s">
        <v>57</v>
      </c>
      <c r="E123" s="90" t="s">
        <v>153</v>
      </c>
      <c r="F123" s="90" t="s">
        <v>59</v>
      </c>
      <c r="G123" s="90">
        <f>SintéticoNC!J22</f>
        <v>281339.24</v>
      </c>
      <c r="H123" s="90">
        <f>SintéticoNC!K22</f>
        <v>0</v>
      </c>
      <c r="I123" s="90">
        <f>SintéticoNC!M22</f>
        <v>283300.95943927957</v>
      </c>
      <c r="J123" s="135">
        <f>SintéticoNC!N22</f>
        <v>0</v>
      </c>
      <c r="K123" s="109" t="str">
        <f t="shared" si="16"/>
        <v/>
      </c>
      <c r="L123" s="90"/>
      <c r="M123" s="90"/>
      <c r="N123" s="90"/>
      <c r="O123" s="90"/>
      <c r="P123" s="90"/>
      <c r="Q123" s="90"/>
      <c r="R123" s="90"/>
      <c r="S123" s="90"/>
      <c r="T123" s="90"/>
      <c r="U123" s="90"/>
      <c r="V123" s="90"/>
      <c r="W123" s="90"/>
      <c r="X123" s="90" t="s">
        <v>1</v>
      </c>
      <c r="Y123" s="110"/>
      <c r="Z123" s="111" cm="1">
        <f t="array" ref="Z123:AK123">INDEX(L123:W123,COUNT(L123:W123))</f>
        <v>0</v>
      </c>
      <c r="AA123" s="110">
        <v>0</v>
      </c>
      <c r="AB123" s="110">
        <v>0</v>
      </c>
      <c r="AC123" s="110">
        <v>0</v>
      </c>
      <c r="AD123" s="110">
        <v>0</v>
      </c>
      <c r="AE123" s="110">
        <v>0</v>
      </c>
      <c r="AF123" s="110">
        <v>0</v>
      </c>
      <c r="AG123" s="110">
        <v>0</v>
      </c>
      <c r="AH123" s="110">
        <v>0</v>
      </c>
      <c r="AI123" s="110">
        <v>0</v>
      </c>
      <c r="AJ123" s="110">
        <v>0</v>
      </c>
      <c r="AK123" s="110">
        <v>0</v>
      </c>
      <c r="AL123" s="110"/>
    </row>
    <row r="124" spans="3:38" s="89" customFormat="1" x14ac:dyDescent="0.25">
      <c r="C124" s="90" t="s">
        <v>292</v>
      </c>
      <c r="D124" s="91" t="s">
        <v>60</v>
      </c>
      <c r="E124" s="90" t="s">
        <v>153</v>
      </c>
      <c r="F124" s="90" t="s">
        <v>62</v>
      </c>
      <c r="G124" s="90">
        <f>SintéticoNC!J23</f>
        <v>81587.97</v>
      </c>
      <c r="H124" s="90">
        <f>SintéticoNC!K23</f>
        <v>0</v>
      </c>
      <c r="I124" s="90">
        <f>SintéticoNC!M23</f>
        <v>82156.865781336295</v>
      </c>
      <c r="J124" s="135">
        <f>SintéticoNC!N23</f>
        <v>0</v>
      </c>
      <c r="K124" s="109" t="str">
        <f t="shared" si="16"/>
        <v/>
      </c>
      <c r="L124" s="90"/>
      <c r="M124" s="90"/>
      <c r="N124" s="90"/>
      <c r="O124" s="90"/>
      <c r="P124" s="90"/>
      <c r="Q124" s="90"/>
      <c r="R124" s="90"/>
      <c r="S124" s="90"/>
      <c r="T124" s="90"/>
      <c r="U124" s="90"/>
      <c r="V124" s="90"/>
      <c r="W124" s="90"/>
      <c r="X124" s="90" t="s">
        <v>1</v>
      </c>
      <c r="Y124" s="110"/>
      <c r="Z124" s="111" cm="1">
        <f t="array" ref="Z124:AK124">INDEX(L124:W124,COUNT(L124:W124))</f>
        <v>0</v>
      </c>
      <c r="AA124" s="110">
        <v>0</v>
      </c>
      <c r="AB124" s="110">
        <v>0</v>
      </c>
      <c r="AC124" s="110">
        <v>0</v>
      </c>
      <c r="AD124" s="110">
        <v>0</v>
      </c>
      <c r="AE124" s="110">
        <v>0</v>
      </c>
      <c r="AF124" s="110">
        <v>0</v>
      </c>
      <c r="AG124" s="110">
        <v>0</v>
      </c>
      <c r="AH124" s="110">
        <v>0</v>
      </c>
      <c r="AI124" s="110">
        <v>0</v>
      </c>
      <c r="AJ124" s="110">
        <v>0</v>
      </c>
      <c r="AK124" s="110">
        <v>0</v>
      </c>
      <c r="AL124" s="110"/>
    </row>
    <row r="125" spans="3:38" s="89" customFormat="1" x14ac:dyDescent="0.25">
      <c r="C125" s="90" t="s">
        <v>292</v>
      </c>
      <c r="D125" s="91" t="s">
        <v>63</v>
      </c>
      <c r="E125" s="90" t="s">
        <v>153</v>
      </c>
      <c r="F125" s="90" t="s">
        <v>65</v>
      </c>
      <c r="G125" s="90">
        <f>SintéticoNC!J24</f>
        <v>881417.69</v>
      </c>
      <c r="H125" s="90">
        <f>SintéticoNC!K24</f>
        <v>0</v>
      </c>
      <c r="I125" s="90">
        <f>SintéticoNC!M24</f>
        <v>887563.63045465504</v>
      </c>
      <c r="J125" s="135">
        <f>SintéticoNC!N24</f>
        <v>0</v>
      </c>
      <c r="K125" s="109" t="str">
        <f t="shared" si="16"/>
        <v/>
      </c>
      <c r="L125" s="90"/>
      <c r="M125" s="90"/>
      <c r="N125" s="90"/>
      <c r="O125" s="90"/>
      <c r="P125" s="90"/>
      <c r="Q125" s="90"/>
      <c r="R125" s="90"/>
      <c r="S125" s="90"/>
      <c r="T125" s="90"/>
      <c r="U125" s="90"/>
      <c r="V125" s="90"/>
      <c r="W125" s="90"/>
      <c r="X125" s="90" t="s">
        <v>1</v>
      </c>
      <c r="Y125" s="110"/>
      <c r="Z125" s="111" cm="1">
        <f t="array" ref="Z125:AK125">INDEX(L125:W125,COUNT(L125:W125))</f>
        <v>0</v>
      </c>
      <c r="AA125" s="110">
        <v>0</v>
      </c>
      <c r="AB125" s="110">
        <v>0</v>
      </c>
      <c r="AC125" s="110">
        <v>0</v>
      </c>
      <c r="AD125" s="110">
        <v>0</v>
      </c>
      <c r="AE125" s="110">
        <v>0</v>
      </c>
      <c r="AF125" s="110">
        <v>0</v>
      </c>
      <c r="AG125" s="110">
        <v>0</v>
      </c>
      <c r="AH125" s="110">
        <v>0</v>
      </c>
      <c r="AI125" s="110">
        <v>0</v>
      </c>
      <c r="AJ125" s="110">
        <v>0</v>
      </c>
      <c r="AK125" s="110">
        <v>0</v>
      </c>
      <c r="AL125" s="110"/>
    </row>
    <row r="126" spans="3:38" s="89" customFormat="1" x14ac:dyDescent="0.25">
      <c r="C126" s="90" t="s">
        <v>292</v>
      </c>
      <c r="D126" s="91" t="s">
        <v>66</v>
      </c>
      <c r="E126" s="90" t="s">
        <v>153</v>
      </c>
      <c r="F126" s="90" t="s">
        <v>68</v>
      </c>
      <c r="G126" s="90">
        <f>SintéticoNC!J25</f>
        <v>502796.02</v>
      </c>
      <c r="H126" s="90">
        <f>SintéticoNC!K25</f>
        <v>0</v>
      </c>
      <c r="I126" s="90">
        <f>SintéticoNC!M25</f>
        <v>506301.91106029582</v>
      </c>
      <c r="J126" s="135">
        <f>SintéticoNC!N25</f>
        <v>0</v>
      </c>
      <c r="K126" s="109" t="str">
        <f t="shared" si="16"/>
        <v/>
      </c>
      <c r="L126" s="90"/>
      <c r="M126" s="90"/>
      <c r="N126" s="90"/>
      <c r="O126" s="90"/>
      <c r="P126" s="90"/>
      <c r="Q126" s="90"/>
      <c r="R126" s="90"/>
      <c r="S126" s="90"/>
      <c r="T126" s="90"/>
      <c r="U126" s="90"/>
      <c r="V126" s="90"/>
      <c r="W126" s="90"/>
      <c r="X126" s="90" t="s">
        <v>1</v>
      </c>
      <c r="Y126" s="110"/>
      <c r="Z126" s="111" cm="1">
        <f t="array" ref="Z126:AK126">INDEX(L126:W126,COUNT(L126:W126))</f>
        <v>0</v>
      </c>
      <c r="AA126" s="110">
        <v>0</v>
      </c>
      <c r="AB126" s="110">
        <v>0</v>
      </c>
      <c r="AC126" s="110">
        <v>0</v>
      </c>
      <c r="AD126" s="110">
        <v>0</v>
      </c>
      <c r="AE126" s="110">
        <v>0</v>
      </c>
      <c r="AF126" s="110">
        <v>0</v>
      </c>
      <c r="AG126" s="110">
        <v>0</v>
      </c>
      <c r="AH126" s="110">
        <v>0</v>
      </c>
      <c r="AI126" s="110">
        <v>0</v>
      </c>
      <c r="AJ126" s="110">
        <v>0</v>
      </c>
      <c r="AK126" s="110">
        <v>0</v>
      </c>
      <c r="AL126" s="110"/>
    </row>
    <row r="127" spans="3:38" s="89" customFormat="1" x14ac:dyDescent="0.25">
      <c r="C127" s="90" t="s">
        <v>292</v>
      </c>
      <c r="D127" s="91" t="s">
        <v>69</v>
      </c>
      <c r="E127" s="90" t="s">
        <v>153</v>
      </c>
      <c r="F127" s="90" t="s">
        <v>71</v>
      </c>
      <c r="G127" s="90">
        <f>SintéticoNC!J26</f>
        <v>207000</v>
      </c>
      <c r="H127" s="90">
        <f>SintéticoNC!K26</f>
        <v>0</v>
      </c>
      <c r="I127" s="90">
        <f>SintéticoNC!M26</f>
        <v>208443.36752999999</v>
      </c>
      <c r="J127" s="135">
        <f>SintéticoNC!N26</f>
        <v>0</v>
      </c>
      <c r="K127" s="109" t="str">
        <f t="shared" si="16"/>
        <v/>
      </c>
      <c r="L127" s="90"/>
      <c r="M127" s="90"/>
      <c r="N127" s="90"/>
      <c r="O127" s="90"/>
      <c r="P127" s="90"/>
      <c r="Q127" s="90"/>
      <c r="R127" s="90"/>
      <c r="S127" s="90"/>
      <c r="T127" s="90"/>
      <c r="U127" s="90"/>
      <c r="V127" s="90"/>
      <c r="W127" s="90"/>
      <c r="X127" s="90" t="s">
        <v>1</v>
      </c>
      <c r="Y127" s="110"/>
      <c r="Z127" s="111" cm="1">
        <f t="array" ref="Z127:AK127">INDEX(L127:W127,COUNT(L127:W127))</f>
        <v>0</v>
      </c>
      <c r="AA127" s="110">
        <v>0</v>
      </c>
      <c r="AB127" s="110">
        <v>0</v>
      </c>
      <c r="AC127" s="110">
        <v>0</v>
      </c>
      <c r="AD127" s="110">
        <v>0</v>
      </c>
      <c r="AE127" s="110">
        <v>0</v>
      </c>
      <c r="AF127" s="110">
        <v>0</v>
      </c>
      <c r="AG127" s="110">
        <v>0</v>
      </c>
      <c r="AH127" s="110">
        <v>0</v>
      </c>
      <c r="AI127" s="110">
        <v>0</v>
      </c>
      <c r="AJ127" s="110">
        <v>0</v>
      </c>
      <c r="AK127" s="110">
        <v>0</v>
      </c>
      <c r="AL127" s="110"/>
    </row>
    <row r="128" spans="3:38" s="89" customFormat="1" x14ac:dyDescent="0.25">
      <c r="C128" s="90" t="s">
        <v>292</v>
      </c>
      <c r="D128" s="91" t="s">
        <v>72</v>
      </c>
      <c r="E128" s="90" t="s">
        <v>153</v>
      </c>
      <c r="F128" s="90" t="s">
        <v>74</v>
      </c>
      <c r="G128" s="90">
        <f>SintéticoNC!J27</f>
        <v>72167.81</v>
      </c>
      <c r="H128" s="90">
        <f>SintéticoNC!K27</f>
        <v>0</v>
      </c>
      <c r="I128" s="90">
        <f>SintéticoNC!M27</f>
        <v>72671.020983889903</v>
      </c>
      <c r="J128" s="135">
        <f>SintéticoNC!N27</f>
        <v>0</v>
      </c>
      <c r="K128" s="109" t="str">
        <f t="shared" si="16"/>
        <v/>
      </c>
      <c r="L128" s="90"/>
      <c r="M128" s="90"/>
      <c r="N128" s="90"/>
      <c r="O128" s="90"/>
      <c r="P128" s="90"/>
      <c r="Q128" s="90"/>
      <c r="R128" s="90"/>
      <c r="S128" s="90"/>
      <c r="T128" s="90"/>
      <c r="U128" s="90"/>
      <c r="V128" s="90"/>
      <c r="W128" s="90"/>
      <c r="X128" s="90" t="s">
        <v>1</v>
      </c>
      <c r="Y128" s="110"/>
      <c r="Z128" s="111" cm="1">
        <f t="array" ref="Z128:AK128">INDEX(L128:W128,COUNT(L128:W128))</f>
        <v>0</v>
      </c>
      <c r="AA128" s="110">
        <v>0</v>
      </c>
      <c r="AB128" s="110">
        <v>0</v>
      </c>
      <c r="AC128" s="110">
        <v>0</v>
      </c>
      <c r="AD128" s="110">
        <v>0</v>
      </c>
      <c r="AE128" s="110">
        <v>0</v>
      </c>
      <c r="AF128" s="110">
        <v>0</v>
      </c>
      <c r="AG128" s="110">
        <v>0</v>
      </c>
      <c r="AH128" s="110">
        <v>0</v>
      </c>
      <c r="AI128" s="110">
        <v>0</v>
      </c>
      <c r="AJ128" s="110">
        <v>0</v>
      </c>
      <c r="AK128" s="110">
        <v>0</v>
      </c>
      <c r="AL128" s="110"/>
    </row>
    <row r="129" spans="3:38" s="89" customFormat="1" x14ac:dyDescent="0.25">
      <c r="C129" s="90" t="s">
        <v>292</v>
      </c>
      <c r="D129" s="91" t="s">
        <v>75</v>
      </c>
      <c r="E129" s="90" t="s">
        <v>153</v>
      </c>
      <c r="F129" s="90" t="s">
        <v>77</v>
      </c>
      <c r="G129" s="90">
        <f>SintéticoNC!J28</f>
        <v>9098.42</v>
      </c>
      <c r="H129" s="90">
        <f>SintéticoNC!K28</f>
        <v>0</v>
      </c>
      <c r="I129" s="90">
        <f>SintéticoNC!M28</f>
        <v>9161.8613719917994</v>
      </c>
      <c r="J129" s="135">
        <f>SintéticoNC!N28</f>
        <v>0</v>
      </c>
      <c r="K129" s="109" t="str">
        <f t="shared" si="16"/>
        <v/>
      </c>
      <c r="L129" s="90"/>
      <c r="M129" s="90"/>
      <c r="N129" s="90"/>
      <c r="O129" s="90"/>
      <c r="P129" s="90"/>
      <c r="Q129" s="90"/>
      <c r="R129" s="90"/>
      <c r="S129" s="90"/>
      <c r="T129" s="90"/>
      <c r="U129" s="90"/>
      <c r="V129" s="90"/>
      <c r="W129" s="90"/>
      <c r="X129" s="90" t="s">
        <v>1</v>
      </c>
      <c r="Y129" s="110"/>
      <c r="Z129" s="111" cm="1">
        <f t="array" ref="Z129:AK129">INDEX(L129:W129,COUNT(L129:W129))</f>
        <v>0</v>
      </c>
      <c r="AA129" s="110">
        <v>0</v>
      </c>
      <c r="AB129" s="110">
        <v>0</v>
      </c>
      <c r="AC129" s="110">
        <v>0</v>
      </c>
      <c r="AD129" s="110">
        <v>0</v>
      </c>
      <c r="AE129" s="110">
        <v>0</v>
      </c>
      <c r="AF129" s="110">
        <v>0</v>
      </c>
      <c r="AG129" s="110">
        <v>0</v>
      </c>
      <c r="AH129" s="110">
        <v>0</v>
      </c>
      <c r="AI129" s="110">
        <v>0</v>
      </c>
      <c r="AJ129" s="110">
        <v>0</v>
      </c>
      <c r="AK129" s="110">
        <v>0</v>
      </c>
      <c r="AL129" s="110"/>
    </row>
    <row r="130" spans="3:38" s="89" customFormat="1" x14ac:dyDescent="0.25">
      <c r="C130" s="90" t="s">
        <v>292</v>
      </c>
      <c r="D130" s="91" t="s">
        <v>78</v>
      </c>
      <c r="E130" s="90" t="s">
        <v>153</v>
      </c>
      <c r="F130" s="90" t="s">
        <v>80</v>
      </c>
      <c r="G130" s="90">
        <f>SintéticoNC!J29</f>
        <v>207000</v>
      </c>
      <c r="H130" s="90">
        <f>SintéticoNC!K29</f>
        <v>0</v>
      </c>
      <c r="I130" s="90">
        <f>SintéticoNC!M29</f>
        <v>208443.36752999999</v>
      </c>
      <c r="J130" s="135">
        <f>SintéticoNC!N29</f>
        <v>0</v>
      </c>
      <c r="K130" s="109" t="str">
        <f t="shared" si="16"/>
        <v/>
      </c>
      <c r="L130" s="90"/>
      <c r="M130" s="90"/>
      <c r="N130" s="90"/>
      <c r="O130" s="90"/>
      <c r="P130" s="90"/>
      <c r="Q130" s="90"/>
      <c r="R130" s="90"/>
      <c r="S130" s="90"/>
      <c r="T130" s="90"/>
      <c r="U130" s="90"/>
      <c r="V130" s="90"/>
      <c r="W130" s="90"/>
      <c r="X130" s="90" t="s">
        <v>1</v>
      </c>
      <c r="Y130" s="110"/>
      <c r="Z130" s="111" cm="1">
        <f t="array" ref="Z130:AK130">INDEX(L130:W130,COUNT(L130:W130))</f>
        <v>0</v>
      </c>
      <c r="AA130" s="110">
        <v>0</v>
      </c>
      <c r="AB130" s="110">
        <v>0</v>
      </c>
      <c r="AC130" s="110">
        <v>0</v>
      </c>
      <c r="AD130" s="110">
        <v>0</v>
      </c>
      <c r="AE130" s="110">
        <v>0</v>
      </c>
      <c r="AF130" s="110">
        <v>0</v>
      </c>
      <c r="AG130" s="110">
        <v>0</v>
      </c>
      <c r="AH130" s="110">
        <v>0</v>
      </c>
      <c r="AI130" s="110">
        <v>0</v>
      </c>
      <c r="AJ130" s="110">
        <v>0</v>
      </c>
      <c r="AK130" s="110">
        <v>0</v>
      </c>
      <c r="AL130" s="110"/>
    </row>
    <row r="131" spans="3:38" s="89" customFormat="1" x14ac:dyDescent="0.25">
      <c r="C131" s="90" t="s">
        <v>292</v>
      </c>
      <c r="D131" s="91" t="s">
        <v>81</v>
      </c>
      <c r="E131" s="90" t="s">
        <v>153</v>
      </c>
      <c r="F131" s="90" t="s">
        <v>83</v>
      </c>
      <c r="G131" s="90">
        <f>SintéticoNC!J30</f>
        <v>102000</v>
      </c>
      <c r="H131" s="90">
        <f>SintéticoNC!K30</f>
        <v>0</v>
      </c>
      <c r="I131" s="90">
        <f>SintéticoNC!M30</f>
        <v>102711.22457999999</v>
      </c>
      <c r="J131" s="135">
        <f>SintéticoNC!N30</f>
        <v>0</v>
      </c>
      <c r="K131" s="109" t="str">
        <f t="shared" si="16"/>
        <v/>
      </c>
      <c r="L131" s="90"/>
      <c r="M131" s="90"/>
      <c r="N131" s="90"/>
      <c r="O131" s="90"/>
      <c r="P131" s="90"/>
      <c r="Q131" s="90"/>
      <c r="R131" s="90"/>
      <c r="S131" s="90"/>
      <c r="T131" s="90"/>
      <c r="U131" s="90"/>
      <c r="V131" s="90"/>
      <c r="W131" s="90"/>
      <c r="X131" s="90" t="s">
        <v>1</v>
      </c>
      <c r="Y131" s="110"/>
      <c r="Z131" s="111" cm="1">
        <f t="array" ref="Z131:AK131">INDEX(L131:W131,COUNT(L131:W131))</f>
        <v>0</v>
      </c>
      <c r="AA131" s="110">
        <v>0</v>
      </c>
      <c r="AB131" s="110">
        <v>0</v>
      </c>
      <c r="AC131" s="110">
        <v>0</v>
      </c>
      <c r="AD131" s="110">
        <v>0</v>
      </c>
      <c r="AE131" s="110">
        <v>0</v>
      </c>
      <c r="AF131" s="110">
        <v>0</v>
      </c>
      <c r="AG131" s="110">
        <v>0</v>
      </c>
      <c r="AH131" s="110">
        <v>0</v>
      </c>
      <c r="AI131" s="110">
        <v>0</v>
      </c>
      <c r="AJ131" s="110">
        <v>0</v>
      </c>
      <c r="AK131" s="110">
        <v>0</v>
      </c>
      <c r="AL131" s="110"/>
    </row>
    <row r="132" spans="3:38" s="89" customFormat="1" x14ac:dyDescent="0.25">
      <c r="C132" s="90" t="s">
        <v>292</v>
      </c>
      <c r="D132" s="91" t="s">
        <v>84</v>
      </c>
      <c r="E132" s="90" t="s">
        <v>153</v>
      </c>
      <c r="F132" s="90" t="s">
        <v>86</v>
      </c>
      <c r="G132" s="90">
        <f>SintéticoNC!J31</f>
        <v>345000</v>
      </c>
      <c r="H132" s="90">
        <f>SintéticoNC!K31</f>
        <v>0</v>
      </c>
      <c r="I132" s="90">
        <f>SintéticoNC!M31</f>
        <v>347405.61255000002</v>
      </c>
      <c r="J132" s="135">
        <f>SintéticoNC!N31</f>
        <v>0</v>
      </c>
      <c r="K132" s="109" t="str">
        <f t="shared" si="16"/>
        <v/>
      </c>
      <c r="L132" s="90"/>
      <c r="M132" s="90"/>
      <c r="N132" s="90"/>
      <c r="O132" s="90"/>
      <c r="P132" s="90"/>
      <c r="Q132" s="90"/>
      <c r="R132" s="90"/>
      <c r="S132" s="90"/>
      <c r="T132" s="90"/>
      <c r="U132" s="90"/>
      <c r="V132" s="90"/>
      <c r="W132" s="90"/>
      <c r="X132" s="90" t="s">
        <v>1</v>
      </c>
      <c r="Y132" s="110"/>
      <c r="Z132" s="111" cm="1">
        <f t="array" ref="Z132:AK132">INDEX(L132:W132,COUNT(L132:W132))</f>
        <v>0</v>
      </c>
      <c r="AA132" s="110">
        <v>0</v>
      </c>
      <c r="AB132" s="110">
        <v>0</v>
      </c>
      <c r="AC132" s="110">
        <v>0</v>
      </c>
      <c r="AD132" s="110">
        <v>0</v>
      </c>
      <c r="AE132" s="110">
        <v>0</v>
      </c>
      <c r="AF132" s="110">
        <v>0</v>
      </c>
      <c r="AG132" s="110">
        <v>0</v>
      </c>
      <c r="AH132" s="110">
        <v>0</v>
      </c>
      <c r="AI132" s="110">
        <v>0</v>
      </c>
      <c r="AJ132" s="110">
        <v>0</v>
      </c>
      <c r="AK132" s="110">
        <v>0</v>
      </c>
      <c r="AL132" s="110"/>
    </row>
    <row r="133" spans="3:38" s="89" customFormat="1" x14ac:dyDescent="0.25">
      <c r="C133" s="90" t="s">
        <v>292</v>
      </c>
      <c r="D133" s="91" t="s">
        <v>87</v>
      </c>
      <c r="E133" s="90" t="s">
        <v>153</v>
      </c>
      <c r="F133" s="90" t="s">
        <v>89</v>
      </c>
      <c r="G133" s="90">
        <f>SintéticoNC!J32</f>
        <v>430000</v>
      </c>
      <c r="H133" s="90">
        <f>SintéticoNC!K32</f>
        <v>0</v>
      </c>
      <c r="I133" s="90">
        <f>SintéticoNC!M32</f>
        <v>432998.29969999997</v>
      </c>
      <c r="J133" s="135">
        <f>SintéticoNC!N32</f>
        <v>0</v>
      </c>
      <c r="K133" s="109" t="str">
        <f t="shared" si="16"/>
        <v/>
      </c>
      <c r="L133" s="90"/>
      <c r="M133" s="90"/>
      <c r="N133" s="90"/>
      <c r="O133" s="90"/>
      <c r="P133" s="90"/>
      <c r="Q133" s="90"/>
      <c r="R133" s="90"/>
      <c r="S133" s="90"/>
      <c r="T133" s="90"/>
      <c r="U133" s="90"/>
      <c r="V133" s="90"/>
      <c r="W133" s="90"/>
      <c r="X133" s="90" t="s">
        <v>1</v>
      </c>
      <c r="Y133" s="110"/>
      <c r="Z133" s="111" cm="1">
        <f t="array" ref="Z133:AK133">INDEX(L133:W133,COUNT(L133:W133))</f>
        <v>0</v>
      </c>
      <c r="AA133" s="110">
        <v>0</v>
      </c>
      <c r="AB133" s="110">
        <v>0</v>
      </c>
      <c r="AC133" s="110">
        <v>0</v>
      </c>
      <c r="AD133" s="110">
        <v>0</v>
      </c>
      <c r="AE133" s="110">
        <v>0</v>
      </c>
      <c r="AF133" s="110">
        <v>0</v>
      </c>
      <c r="AG133" s="110">
        <v>0</v>
      </c>
      <c r="AH133" s="110">
        <v>0</v>
      </c>
      <c r="AI133" s="110">
        <v>0</v>
      </c>
      <c r="AJ133" s="110">
        <v>0</v>
      </c>
      <c r="AK133" s="110">
        <v>0</v>
      </c>
      <c r="AL133" s="110"/>
    </row>
    <row r="134" spans="3:38" s="89" customFormat="1" x14ac:dyDescent="0.25">
      <c r="C134" s="90" t="s">
        <v>292</v>
      </c>
      <c r="D134" s="91" t="s">
        <v>90</v>
      </c>
      <c r="E134" s="90" t="s">
        <v>153</v>
      </c>
      <c r="F134" s="90" t="s">
        <v>92</v>
      </c>
      <c r="G134" s="90">
        <f>SintéticoNC!J33</f>
        <v>66102.3</v>
      </c>
      <c r="H134" s="90">
        <f>SintéticoNC!K33</f>
        <v>0</v>
      </c>
      <c r="I134" s="90">
        <f>SintéticoNC!M33</f>
        <v>66563.217456416998</v>
      </c>
      <c r="J134" s="135">
        <f>SintéticoNC!N33</f>
        <v>0</v>
      </c>
      <c r="K134" s="109" t="str">
        <f t="shared" si="16"/>
        <v/>
      </c>
      <c r="L134" s="90"/>
      <c r="M134" s="90"/>
      <c r="N134" s="90"/>
      <c r="O134" s="90"/>
      <c r="P134" s="90"/>
      <c r="Q134" s="90"/>
      <c r="R134" s="90"/>
      <c r="S134" s="90"/>
      <c r="T134" s="90"/>
      <c r="U134" s="90"/>
      <c r="V134" s="90"/>
      <c r="W134" s="90"/>
      <c r="X134" s="90" t="s">
        <v>1</v>
      </c>
      <c r="Y134" s="110"/>
      <c r="Z134" s="111" cm="1">
        <f t="array" ref="Z134:AK134">INDEX(L134:W134,COUNT(L134:W134))</f>
        <v>0</v>
      </c>
      <c r="AA134" s="110">
        <v>0</v>
      </c>
      <c r="AB134" s="110">
        <v>0</v>
      </c>
      <c r="AC134" s="110">
        <v>0</v>
      </c>
      <c r="AD134" s="110">
        <v>0</v>
      </c>
      <c r="AE134" s="110">
        <v>0</v>
      </c>
      <c r="AF134" s="110">
        <v>0</v>
      </c>
      <c r="AG134" s="110">
        <v>0</v>
      </c>
      <c r="AH134" s="110">
        <v>0</v>
      </c>
      <c r="AI134" s="110">
        <v>0</v>
      </c>
      <c r="AJ134" s="110">
        <v>0</v>
      </c>
      <c r="AK134" s="110">
        <v>0</v>
      </c>
      <c r="AL134" s="110"/>
    </row>
    <row r="135" spans="3:38" s="89" customFormat="1" x14ac:dyDescent="0.25">
      <c r="C135" s="90" t="s">
        <v>292</v>
      </c>
      <c r="D135" s="91" t="s">
        <v>93</v>
      </c>
      <c r="E135" s="90" t="s">
        <v>153</v>
      </c>
      <c r="F135" s="90" t="s">
        <v>95</v>
      </c>
      <c r="G135" s="90">
        <f>SintéticoNC!J34</f>
        <v>2475.04</v>
      </c>
      <c r="H135" s="90">
        <f>SintéticoNC!K34</f>
        <v>0</v>
      </c>
      <c r="I135" s="90">
        <f>SintéticoNC!M34</f>
        <v>2492.2979341616001</v>
      </c>
      <c r="J135" s="135">
        <f>SintéticoNC!N34</f>
        <v>0</v>
      </c>
      <c r="K135" s="109" t="str">
        <f t="shared" si="16"/>
        <v/>
      </c>
      <c r="L135" s="90"/>
      <c r="M135" s="90"/>
      <c r="N135" s="90"/>
      <c r="O135" s="90"/>
      <c r="P135" s="90"/>
      <c r="Q135" s="90"/>
      <c r="R135" s="90"/>
      <c r="S135" s="90"/>
      <c r="T135" s="90"/>
      <c r="U135" s="90"/>
      <c r="V135" s="90"/>
      <c r="W135" s="90"/>
      <c r="X135" s="90" t="s">
        <v>1</v>
      </c>
      <c r="Y135" s="110"/>
      <c r="Z135" s="111" cm="1">
        <f t="array" ref="Z135:AK135">INDEX(L135:W135,COUNT(L135:W135))</f>
        <v>0</v>
      </c>
      <c r="AA135" s="110">
        <v>0</v>
      </c>
      <c r="AB135" s="110">
        <v>0</v>
      </c>
      <c r="AC135" s="110">
        <v>0</v>
      </c>
      <c r="AD135" s="110">
        <v>0</v>
      </c>
      <c r="AE135" s="110">
        <v>0</v>
      </c>
      <c r="AF135" s="110">
        <v>0</v>
      </c>
      <c r="AG135" s="110">
        <v>0</v>
      </c>
      <c r="AH135" s="110">
        <v>0</v>
      </c>
      <c r="AI135" s="110">
        <v>0</v>
      </c>
      <c r="AJ135" s="110">
        <v>0</v>
      </c>
      <c r="AK135" s="110">
        <v>0</v>
      </c>
      <c r="AL135" s="110"/>
    </row>
    <row r="136" spans="3:38" s="89" customFormat="1" x14ac:dyDescent="0.25">
      <c r="C136" s="90" t="s">
        <v>292</v>
      </c>
      <c r="D136" s="91" t="s">
        <v>96</v>
      </c>
      <c r="E136" s="90" t="s">
        <v>153</v>
      </c>
      <c r="F136" s="90" t="s">
        <v>98</v>
      </c>
      <c r="G136" s="90">
        <f>SintéticoNC!J35</f>
        <v>207000</v>
      </c>
      <c r="H136" s="90">
        <f>SintéticoNC!K35</f>
        <v>0</v>
      </c>
      <c r="I136" s="90">
        <f>SintéticoNC!M35</f>
        <v>208443.36752999999</v>
      </c>
      <c r="J136" s="135">
        <f>SintéticoNC!N35</f>
        <v>0</v>
      </c>
      <c r="K136" s="109" t="str">
        <f t="shared" si="16"/>
        <v/>
      </c>
      <c r="L136" s="90"/>
      <c r="M136" s="90"/>
      <c r="N136" s="90"/>
      <c r="O136" s="90"/>
      <c r="P136" s="90"/>
      <c r="Q136" s="90"/>
      <c r="R136" s="90"/>
      <c r="S136" s="90"/>
      <c r="T136" s="90"/>
      <c r="U136" s="90"/>
      <c r="V136" s="90"/>
      <c r="W136" s="90"/>
      <c r="X136" s="90" t="s">
        <v>1</v>
      </c>
      <c r="Y136" s="110"/>
      <c r="Z136" s="111" cm="1">
        <f t="array" ref="Z136:AK136">INDEX(L136:W136,COUNT(L136:W136))</f>
        <v>0</v>
      </c>
      <c r="AA136" s="110">
        <v>0</v>
      </c>
      <c r="AB136" s="110">
        <v>0</v>
      </c>
      <c r="AC136" s="110">
        <v>0</v>
      </c>
      <c r="AD136" s="110">
        <v>0</v>
      </c>
      <c r="AE136" s="110">
        <v>0</v>
      </c>
      <c r="AF136" s="110">
        <v>0</v>
      </c>
      <c r="AG136" s="110">
        <v>0</v>
      </c>
      <c r="AH136" s="110">
        <v>0</v>
      </c>
      <c r="AI136" s="110">
        <v>0</v>
      </c>
      <c r="AJ136" s="110">
        <v>0</v>
      </c>
      <c r="AK136" s="110">
        <v>0</v>
      </c>
      <c r="AL136" s="110"/>
    </row>
    <row r="137" spans="3:38" s="89" customFormat="1" x14ac:dyDescent="0.25">
      <c r="C137" s="90" t="s">
        <v>292</v>
      </c>
      <c r="D137" s="91" t="s">
        <v>99</v>
      </c>
      <c r="E137" s="90" t="s">
        <v>153</v>
      </c>
      <c r="F137" s="90" t="s">
        <v>101</v>
      </c>
      <c r="G137" s="90">
        <f>SintéticoNC!J36</f>
        <v>408375.1</v>
      </c>
      <c r="H137" s="90">
        <f>SintéticoNC!K36</f>
        <v>0</v>
      </c>
      <c r="I137" s="90">
        <f>SintéticoNC!M36</f>
        <v>411222.61381352897</v>
      </c>
      <c r="J137" s="135">
        <f>SintéticoNC!N36</f>
        <v>0</v>
      </c>
      <c r="K137" s="109" t="str">
        <f t="shared" si="16"/>
        <v/>
      </c>
      <c r="L137" s="90"/>
      <c r="M137" s="90"/>
      <c r="N137" s="90"/>
      <c r="O137" s="90"/>
      <c r="P137" s="90"/>
      <c r="Q137" s="90"/>
      <c r="R137" s="90"/>
      <c r="S137" s="90"/>
      <c r="T137" s="90"/>
      <c r="U137" s="90"/>
      <c r="V137" s="90"/>
      <c r="W137" s="90"/>
      <c r="X137" s="90" t="s">
        <v>1</v>
      </c>
      <c r="Y137" s="110"/>
      <c r="Z137" s="111" cm="1">
        <f t="array" ref="Z137:AK137">INDEX(L137:W137,COUNT(L137:W137))</f>
        <v>0</v>
      </c>
      <c r="AA137" s="110">
        <v>0</v>
      </c>
      <c r="AB137" s="110">
        <v>0</v>
      </c>
      <c r="AC137" s="110">
        <v>0</v>
      </c>
      <c r="AD137" s="110">
        <v>0</v>
      </c>
      <c r="AE137" s="110">
        <v>0</v>
      </c>
      <c r="AF137" s="110">
        <v>0</v>
      </c>
      <c r="AG137" s="110">
        <v>0</v>
      </c>
      <c r="AH137" s="110">
        <v>0</v>
      </c>
      <c r="AI137" s="110">
        <v>0</v>
      </c>
      <c r="AJ137" s="110">
        <v>0</v>
      </c>
      <c r="AK137" s="110">
        <v>0</v>
      </c>
      <c r="AL137" s="110"/>
    </row>
    <row r="138" spans="3:38" s="89" customFormat="1" x14ac:dyDescent="0.25">
      <c r="C138" s="90" t="s">
        <v>292</v>
      </c>
      <c r="D138" s="91" t="s">
        <v>102</v>
      </c>
      <c r="E138" s="90" t="s">
        <v>153</v>
      </c>
      <c r="F138" s="90" t="s">
        <v>104</v>
      </c>
      <c r="G138" s="90">
        <f>SintéticoNC!J37</f>
        <v>207000</v>
      </c>
      <c r="H138" s="90">
        <f>SintéticoNC!K37</f>
        <v>0</v>
      </c>
      <c r="I138" s="90">
        <f>SintéticoNC!M37</f>
        <v>208443.36752999999</v>
      </c>
      <c r="J138" s="135">
        <f>SintéticoNC!N37</f>
        <v>0</v>
      </c>
      <c r="K138" s="109" t="str">
        <f t="shared" si="16"/>
        <v/>
      </c>
      <c r="L138" s="90"/>
      <c r="M138" s="90"/>
      <c r="N138" s="90"/>
      <c r="O138" s="90"/>
      <c r="P138" s="90"/>
      <c r="Q138" s="90"/>
      <c r="R138" s="90"/>
      <c r="S138" s="90"/>
      <c r="T138" s="90"/>
      <c r="U138" s="90"/>
      <c r="V138" s="90"/>
      <c r="W138" s="90"/>
      <c r="X138" s="90" t="s">
        <v>1</v>
      </c>
      <c r="Y138" s="110"/>
      <c r="Z138" s="111" cm="1">
        <f t="array" ref="Z138:AK138">INDEX(L138:W138,COUNT(L138:W138))</f>
        <v>0</v>
      </c>
      <c r="AA138" s="110">
        <v>0</v>
      </c>
      <c r="AB138" s="110">
        <v>0</v>
      </c>
      <c r="AC138" s="110">
        <v>0</v>
      </c>
      <c r="AD138" s="110">
        <v>0</v>
      </c>
      <c r="AE138" s="110">
        <v>0</v>
      </c>
      <c r="AF138" s="110">
        <v>0</v>
      </c>
      <c r="AG138" s="110">
        <v>0</v>
      </c>
      <c r="AH138" s="110">
        <v>0</v>
      </c>
      <c r="AI138" s="110">
        <v>0</v>
      </c>
      <c r="AJ138" s="110">
        <v>0</v>
      </c>
      <c r="AK138" s="110">
        <v>0</v>
      </c>
      <c r="AL138" s="110"/>
    </row>
    <row r="139" spans="3:38" s="89" customFormat="1" x14ac:dyDescent="0.25">
      <c r="C139" s="90" t="s">
        <v>292</v>
      </c>
      <c r="D139" s="91" t="s">
        <v>105</v>
      </c>
      <c r="E139" s="90" t="s">
        <v>153</v>
      </c>
      <c r="F139" s="90" t="s">
        <v>107</v>
      </c>
      <c r="G139" s="90">
        <f>SintéticoNC!J38</f>
        <v>15392427.09</v>
      </c>
      <c r="H139" s="90">
        <f>SintéticoNC!K38</f>
        <v>0</v>
      </c>
      <c r="I139" s="90">
        <f>SintéticoNC!M38</f>
        <v>15499755.251688881</v>
      </c>
      <c r="J139" s="135">
        <f>SintéticoNC!N38</f>
        <v>0</v>
      </c>
      <c r="K139" s="109" t="str">
        <f t="shared" si="16"/>
        <v/>
      </c>
      <c r="L139" s="90"/>
      <c r="M139" s="90"/>
      <c r="N139" s="90"/>
      <c r="O139" s="90"/>
      <c r="P139" s="90"/>
      <c r="Q139" s="90"/>
      <c r="R139" s="90"/>
      <c r="S139" s="90"/>
      <c r="T139" s="90"/>
      <c r="U139" s="90"/>
      <c r="V139" s="90"/>
      <c r="W139" s="90"/>
      <c r="X139" s="90" t="s">
        <v>1</v>
      </c>
      <c r="Y139" s="110"/>
      <c r="Z139" s="111" cm="1">
        <f t="array" ref="Z139:AK139">INDEX(L139:W139,COUNT(L139:W139))</f>
        <v>0</v>
      </c>
      <c r="AA139" s="110">
        <v>0</v>
      </c>
      <c r="AB139" s="110">
        <v>0</v>
      </c>
      <c r="AC139" s="110">
        <v>0</v>
      </c>
      <c r="AD139" s="110">
        <v>0</v>
      </c>
      <c r="AE139" s="110">
        <v>0</v>
      </c>
      <c r="AF139" s="110">
        <v>0</v>
      </c>
      <c r="AG139" s="110">
        <v>0</v>
      </c>
      <c r="AH139" s="110">
        <v>0</v>
      </c>
      <c r="AI139" s="110">
        <v>0</v>
      </c>
      <c r="AJ139" s="110">
        <v>0</v>
      </c>
      <c r="AK139" s="110">
        <v>0</v>
      </c>
      <c r="AL139" s="110"/>
    </row>
    <row r="140" spans="3:38" s="89" customFormat="1" x14ac:dyDescent="0.25">
      <c r="C140" s="90" t="s">
        <v>292</v>
      </c>
      <c r="D140" s="91" t="s">
        <v>105</v>
      </c>
      <c r="E140" s="90" t="s">
        <v>153</v>
      </c>
      <c r="F140" s="90" t="s">
        <v>109</v>
      </c>
      <c r="G140" s="90">
        <f>SintéticoNC!J39</f>
        <v>3688000</v>
      </c>
      <c r="H140" s="90">
        <f>SintéticoNC!K39</f>
        <v>0</v>
      </c>
      <c r="I140" s="90">
        <f>SintéticoNC!M39</f>
        <v>3713715.64952</v>
      </c>
      <c r="J140" s="135">
        <f>SintéticoNC!N39</f>
        <v>0</v>
      </c>
      <c r="K140" s="109" t="str">
        <f t="shared" si="16"/>
        <v/>
      </c>
      <c r="L140" s="90"/>
      <c r="M140" s="90"/>
      <c r="N140" s="90"/>
      <c r="O140" s="90"/>
      <c r="P140" s="90"/>
      <c r="Q140" s="90"/>
      <c r="R140" s="90"/>
      <c r="S140" s="90"/>
      <c r="T140" s="90"/>
      <c r="U140" s="90"/>
      <c r="V140" s="90"/>
      <c r="W140" s="90"/>
      <c r="X140" s="90" t="s">
        <v>1</v>
      </c>
      <c r="Y140" s="110"/>
      <c r="Z140" s="111" cm="1">
        <f t="array" ref="Z140:AK140">INDEX(L140:W140,COUNT(L140:W140))</f>
        <v>0</v>
      </c>
      <c r="AA140" s="110">
        <v>0</v>
      </c>
      <c r="AB140" s="110">
        <v>0</v>
      </c>
      <c r="AC140" s="110">
        <v>0</v>
      </c>
      <c r="AD140" s="110">
        <v>0</v>
      </c>
      <c r="AE140" s="110">
        <v>0</v>
      </c>
      <c r="AF140" s="110">
        <v>0</v>
      </c>
      <c r="AG140" s="110">
        <v>0</v>
      </c>
      <c r="AH140" s="110">
        <v>0</v>
      </c>
      <c r="AI140" s="110">
        <v>0</v>
      </c>
      <c r="AJ140" s="110">
        <v>0</v>
      </c>
      <c r="AK140" s="110">
        <v>0</v>
      </c>
      <c r="AL140" s="110"/>
    </row>
    <row r="141" spans="3:38" s="89" customFormat="1" x14ac:dyDescent="0.25">
      <c r="C141" s="90" t="s">
        <v>292</v>
      </c>
      <c r="D141" s="91" t="s">
        <v>105</v>
      </c>
      <c r="E141" s="90" t="s">
        <v>153</v>
      </c>
      <c r="F141" s="90" t="s">
        <v>111</v>
      </c>
      <c r="G141" s="90">
        <f>SintéticoNC!J40</f>
        <v>10000000</v>
      </c>
      <c r="H141" s="90">
        <f>SintéticoNC!K40</f>
        <v>0</v>
      </c>
      <c r="I141" s="90">
        <f>SintéticoNC!M40</f>
        <v>10069727.9</v>
      </c>
      <c r="J141" s="135">
        <f>SintéticoNC!N40</f>
        <v>0</v>
      </c>
      <c r="K141" s="109" t="str">
        <f t="shared" si="16"/>
        <v/>
      </c>
      <c r="L141" s="90"/>
      <c r="M141" s="90"/>
      <c r="N141" s="90"/>
      <c r="O141" s="90"/>
      <c r="P141" s="90"/>
      <c r="Q141" s="90"/>
      <c r="R141" s="90"/>
      <c r="S141" s="90"/>
      <c r="T141" s="90"/>
      <c r="U141" s="90"/>
      <c r="V141" s="90"/>
      <c r="W141" s="90"/>
      <c r="X141" s="90" t="s">
        <v>1</v>
      </c>
      <c r="Y141" s="110"/>
      <c r="Z141" s="111" cm="1">
        <f t="array" ref="Z141:AK141">INDEX(L141:W141,COUNT(L141:W141))</f>
        <v>0</v>
      </c>
      <c r="AA141" s="110">
        <v>0</v>
      </c>
      <c r="AB141" s="110">
        <v>0</v>
      </c>
      <c r="AC141" s="110">
        <v>0</v>
      </c>
      <c r="AD141" s="110">
        <v>0</v>
      </c>
      <c r="AE141" s="110">
        <v>0</v>
      </c>
      <c r="AF141" s="110">
        <v>0</v>
      </c>
      <c r="AG141" s="110">
        <v>0</v>
      </c>
      <c r="AH141" s="110">
        <v>0</v>
      </c>
      <c r="AI141" s="110">
        <v>0</v>
      </c>
      <c r="AJ141" s="110">
        <v>0</v>
      </c>
      <c r="AK141" s="110">
        <v>0</v>
      </c>
      <c r="AL141" s="110"/>
    </row>
    <row r="142" spans="3:38" s="89" customFormat="1" x14ac:dyDescent="0.25">
      <c r="C142" s="90" t="s">
        <v>292</v>
      </c>
      <c r="D142" s="91" t="s">
        <v>112</v>
      </c>
      <c r="E142" s="90" t="s">
        <v>153</v>
      </c>
      <c r="F142" s="90" t="s">
        <v>114</v>
      </c>
      <c r="G142" s="90">
        <f>SintéticoNC!J41</f>
        <v>16863198</v>
      </c>
      <c r="H142" s="90">
        <f>SintéticoNC!K41</f>
        <v>0</v>
      </c>
      <c r="I142" s="90">
        <f>SintéticoNC!M41</f>
        <v>16980781.538382418</v>
      </c>
      <c r="J142" s="135">
        <f>SintéticoNC!N41</f>
        <v>0</v>
      </c>
      <c r="K142" s="109" t="str">
        <f t="shared" si="16"/>
        <v/>
      </c>
      <c r="L142" s="90"/>
      <c r="M142" s="90"/>
      <c r="N142" s="90"/>
      <c r="O142" s="90"/>
      <c r="P142" s="90"/>
      <c r="Q142" s="90"/>
      <c r="R142" s="90"/>
      <c r="S142" s="90"/>
      <c r="T142" s="90"/>
      <c r="U142" s="90"/>
      <c r="V142" s="90"/>
      <c r="W142" s="90"/>
      <c r="X142" s="90" t="s">
        <v>1</v>
      </c>
      <c r="Y142" s="110"/>
      <c r="Z142" s="111" cm="1">
        <f t="array" ref="Z142:AK142">INDEX(L142:W142,COUNT(L142:W142))</f>
        <v>0</v>
      </c>
      <c r="AA142" s="110">
        <v>0</v>
      </c>
      <c r="AB142" s="110">
        <v>0</v>
      </c>
      <c r="AC142" s="110">
        <v>0</v>
      </c>
      <c r="AD142" s="110">
        <v>0</v>
      </c>
      <c r="AE142" s="110">
        <v>0</v>
      </c>
      <c r="AF142" s="110">
        <v>0</v>
      </c>
      <c r="AG142" s="110">
        <v>0</v>
      </c>
      <c r="AH142" s="110">
        <v>0</v>
      </c>
      <c r="AI142" s="110">
        <v>0</v>
      </c>
      <c r="AJ142" s="110">
        <v>0</v>
      </c>
      <c r="AK142" s="110">
        <v>0</v>
      </c>
      <c r="AL142" s="110"/>
    </row>
    <row r="143" spans="3:38" s="89" customFormat="1" x14ac:dyDescent="0.25">
      <c r="C143" s="90" t="s">
        <v>292</v>
      </c>
      <c r="D143" s="91" t="s">
        <v>112</v>
      </c>
      <c r="E143" s="90" t="s">
        <v>153</v>
      </c>
      <c r="F143" s="90" t="s">
        <v>116</v>
      </c>
      <c r="G143" s="90">
        <f>SintéticoNC!J42</f>
        <v>3681000</v>
      </c>
      <c r="H143" s="90">
        <f>SintéticoNC!K42</f>
        <v>0</v>
      </c>
      <c r="I143" s="90">
        <f>SintéticoNC!M42</f>
        <v>3706666.8399899998</v>
      </c>
      <c r="J143" s="135">
        <f>SintéticoNC!N42</f>
        <v>0</v>
      </c>
      <c r="K143" s="109" t="str">
        <f t="shared" si="16"/>
        <v/>
      </c>
      <c r="L143" s="90"/>
      <c r="M143" s="90"/>
      <c r="N143" s="90"/>
      <c r="O143" s="90"/>
      <c r="P143" s="90"/>
      <c r="Q143" s="90"/>
      <c r="R143" s="90"/>
      <c r="S143" s="90"/>
      <c r="T143" s="90"/>
      <c r="U143" s="90"/>
      <c r="V143" s="90"/>
      <c r="W143" s="90"/>
      <c r="X143" s="90" t="s">
        <v>1</v>
      </c>
      <c r="Y143" s="110"/>
      <c r="Z143" s="111" cm="1">
        <f t="array" ref="Z143:AK143">INDEX(L143:W143,COUNT(L143:W143))</f>
        <v>0</v>
      </c>
      <c r="AA143" s="110">
        <v>0</v>
      </c>
      <c r="AB143" s="110">
        <v>0</v>
      </c>
      <c r="AC143" s="110">
        <v>0</v>
      </c>
      <c r="AD143" s="110">
        <v>0</v>
      </c>
      <c r="AE143" s="110">
        <v>0</v>
      </c>
      <c r="AF143" s="110">
        <v>0</v>
      </c>
      <c r="AG143" s="110">
        <v>0</v>
      </c>
      <c r="AH143" s="110">
        <v>0</v>
      </c>
      <c r="AI143" s="110">
        <v>0</v>
      </c>
      <c r="AJ143" s="110">
        <v>0</v>
      </c>
      <c r="AK143" s="110">
        <v>0</v>
      </c>
      <c r="AL143" s="110"/>
    </row>
    <row r="144" spans="3:38" s="89" customFormat="1" x14ac:dyDescent="0.25">
      <c r="C144" s="90" t="s">
        <v>292</v>
      </c>
      <c r="D144" s="91" t="s">
        <v>117</v>
      </c>
      <c r="E144" s="90" t="s">
        <v>153</v>
      </c>
      <c r="F144" s="90" t="s">
        <v>119</v>
      </c>
      <c r="G144" s="90">
        <f>SintéticoNC!J43</f>
        <v>625930.5</v>
      </c>
      <c r="H144" s="90">
        <f>SintéticoNC!K43</f>
        <v>0</v>
      </c>
      <c r="I144" s="90">
        <f>SintéticoNC!M43</f>
        <v>630294.98193109501</v>
      </c>
      <c r="J144" s="135">
        <f>SintéticoNC!N43</f>
        <v>0</v>
      </c>
      <c r="K144" s="109" t="str">
        <f t="shared" si="16"/>
        <v/>
      </c>
      <c r="L144" s="90"/>
      <c r="M144" s="90"/>
      <c r="N144" s="90"/>
      <c r="O144" s="90"/>
      <c r="P144" s="90"/>
      <c r="Q144" s="90"/>
      <c r="R144" s="90"/>
      <c r="S144" s="90"/>
      <c r="T144" s="90"/>
      <c r="U144" s="90"/>
      <c r="V144" s="90"/>
      <c r="W144" s="90"/>
      <c r="X144" s="90" t="s">
        <v>1</v>
      </c>
      <c r="Y144" s="110"/>
      <c r="Z144" s="111" cm="1">
        <f t="array" ref="Z144:AK144">INDEX(L144:W144,COUNT(L144:W144))</f>
        <v>0</v>
      </c>
      <c r="AA144" s="110">
        <v>0</v>
      </c>
      <c r="AB144" s="110">
        <v>0</v>
      </c>
      <c r="AC144" s="110">
        <v>0</v>
      </c>
      <c r="AD144" s="110">
        <v>0</v>
      </c>
      <c r="AE144" s="110">
        <v>0</v>
      </c>
      <c r="AF144" s="110">
        <v>0</v>
      </c>
      <c r="AG144" s="110">
        <v>0</v>
      </c>
      <c r="AH144" s="110">
        <v>0</v>
      </c>
      <c r="AI144" s="110">
        <v>0</v>
      </c>
      <c r="AJ144" s="110">
        <v>0</v>
      </c>
      <c r="AK144" s="110">
        <v>0</v>
      </c>
      <c r="AL144" s="110"/>
    </row>
    <row r="145" spans="3:38" s="89" customFormat="1" x14ac:dyDescent="0.25">
      <c r="C145" s="90" t="s">
        <v>292</v>
      </c>
      <c r="D145" s="91" t="s">
        <v>120</v>
      </c>
      <c r="E145" s="90" t="s">
        <v>153</v>
      </c>
      <c r="F145" s="90" t="s">
        <v>122</v>
      </c>
      <c r="G145" s="90">
        <f>SintéticoNC!J44</f>
        <v>107800</v>
      </c>
      <c r="H145" s="90">
        <f>SintéticoNC!K44</f>
        <v>0</v>
      </c>
      <c r="I145" s="90">
        <f>SintéticoNC!M44</f>
        <v>108551.66676199999</v>
      </c>
      <c r="J145" s="135">
        <f>SintéticoNC!N44</f>
        <v>0</v>
      </c>
      <c r="K145" s="109" t="str">
        <f t="shared" si="16"/>
        <v/>
      </c>
      <c r="L145" s="90"/>
      <c r="M145" s="90"/>
      <c r="N145" s="90"/>
      <c r="O145" s="90"/>
      <c r="P145" s="90"/>
      <c r="Q145" s="90"/>
      <c r="R145" s="90"/>
      <c r="S145" s="90"/>
      <c r="T145" s="90"/>
      <c r="U145" s="90"/>
      <c r="V145" s="90"/>
      <c r="W145" s="90"/>
      <c r="X145" s="90" t="s">
        <v>1</v>
      </c>
      <c r="Y145" s="110"/>
      <c r="Z145" s="111" cm="1">
        <f t="array" ref="Z145:AK145">INDEX(L145:W145,COUNT(L145:W145))</f>
        <v>0</v>
      </c>
      <c r="AA145" s="110">
        <v>0</v>
      </c>
      <c r="AB145" s="110">
        <v>0</v>
      </c>
      <c r="AC145" s="110">
        <v>0</v>
      </c>
      <c r="AD145" s="110">
        <v>0</v>
      </c>
      <c r="AE145" s="110">
        <v>0</v>
      </c>
      <c r="AF145" s="110">
        <v>0</v>
      </c>
      <c r="AG145" s="110">
        <v>0</v>
      </c>
      <c r="AH145" s="110">
        <v>0</v>
      </c>
      <c r="AI145" s="110">
        <v>0</v>
      </c>
      <c r="AJ145" s="110">
        <v>0</v>
      </c>
      <c r="AK145" s="110">
        <v>0</v>
      </c>
      <c r="AL145" s="110"/>
    </row>
    <row r="146" spans="3:38" s="89" customFormat="1" x14ac:dyDescent="0.25">
      <c r="C146" s="90" t="s">
        <v>292</v>
      </c>
      <c r="D146" s="91" t="s">
        <v>123</v>
      </c>
      <c r="E146" s="90" t="s">
        <v>153</v>
      </c>
      <c r="F146" s="90" t="s">
        <v>125</v>
      </c>
      <c r="G146" s="90">
        <f>SintéticoNC!J45</f>
        <v>414000</v>
      </c>
      <c r="H146" s="90">
        <f>SintéticoNC!K45</f>
        <v>0</v>
      </c>
      <c r="I146" s="90">
        <f>SintéticoNC!M45</f>
        <v>416886.73505999998</v>
      </c>
      <c r="J146" s="135">
        <f>SintéticoNC!N45</f>
        <v>0</v>
      </c>
      <c r="K146" s="109" t="str">
        <f t="shared" si="16"/>
        <v/>
      </c>
      <c r="L146" s="90"/>
      <c r="M146" s="90"/>
      <c r="N146" s="90"/>
      <c r="O146" s="90"/>
      <c r="P146" s="90"/>
      <c r="Q146" s="90"/>
      <c r="R146" s="90"/>
      <c r="S146" s="90"/>
      <c r="T146" s="90"/>
      <c r="U146" s="90"/>
      <c r="V146" s="90"/>
      <c r="W146" s="90"/>
      <c r="X146" s="90" t="s">
        <v>1</v>
      </c>
      <c r="Y146" s="110"/>
      <c r="Z146" s="111" cm="1">
        <f t="array" ref="Z146:AK146">INDEX(L146:W146,COUNT(L146:W146))</f>
        <v>0</v>
      </c>
      <c r="AA146" s="110">
        <v>0</v>
      </c>
      <c r="AB146" s="110">
        <v>0</v>
      </c>
      <c r="AC146" s="110">
        <v>0</v>
      </c>
      <c r="AD146" s="110">
        <v>0</v>
      </c>
      <c r="AE146" s="110">
        <v>0</v>
      </c>
      <c r="AF146" s="110">
        <v>0</v>
      </c>
      <c r="AG146" s="110">
        <v>0</v>
      </c>
      <c r="AH146" s="110">
        <v>0</v>
      </c>
      <c r="AI146" s="110">
        <v>0</v>
      </c>
      <c r="AJ146" s="110">
        <v>0</v>
      </c>
      <c r="AK146" s="110">
        <v>0</v>
      </c>
      <c r="AL146" s="110"/>
    </row>
    <row r="147" spans="3:38" s="89" customFormat="1" x14ac:dyDescent="0.25">
      <c r="C147" s="90" t="s">
        <v>292</v>
      </c>
      <c r="D147" s="91" t="s">
        <v>126</v>
      </c>
      <c r="E147" s="90" t="s">
        <v>153</v>
      </c>
      <c r="F147" s="90" t="s">
        <v>128</v>
      </c>
      <c r="G147" s="90">
        <f>SintéticoNC!J46</f>
        <v>46400</v>
      </c>
      <c r="H147" s="90">
        <f>SintéticoNC!K46</f>
        <v>0</v>
      </c>
      <c r="I147" s="90">
        <f>SintéticoNC!M46</f>
        <v>46723.537455999998</v>
      </c>
      <c r="J147" s="135">
        <f>SintéticoNC!N46</f>
        <v>0</v>
      </c>
      <c r="K147" s="109" t="str">
        <f t="shared" si="16"/>
        <v/>
      </c>
      <c r="L147" s="90"/>
      <c r="M147" s="90"/>
      <c r="N147" s="90"/>
      <c r="O147" s="90"/>
      <c r="P147" s="90"/>
      <c r="Q147" s="90"/>
      <c r="R147" s="90"/>
      <c r="S147" s="90"/>
      <c r="T147" s="90"/>
      <c r="U147" s="90"/>
      <c r="V147" s="90"/>
      <c r="W147" s="90"/>
      <c r="X147" s="90" t="s">
        <v>1</v>
      </c>
      <c r="Y147" s="110"/>
      <c r="Z147" s="111" cm="1">
        <f t="array" ref="Z147:AK147">INDEX(L147:W147,COUNT(L147:W147))</f>
        <v>0</v>
      </c>
      <c r="AA147" s="110">
        <v>0</v>
      </c>
      <c r="AB147" s="110">
        <v>0</v>
      </c>
      <c r="AC147" s="110">
        <v>0</v>
      </c>
      <c r="AD147" s="110">
        <v>0</v>
      </c>
      <c r="AE147" s="110">
        <v>0</v>
      </c>
      <c r="AF147" s="110">
        <v>0</v>
      </c>
      <c r="AG147" s="110">
        <v>0</v>
      </c>
      <c r="AH147" s="110">
        <v>0</v>
      </c>
      <c r="AI147" s="110">
        <v>0</v>
      </c>
      <c r="AJ147" s="110">
        <v>0</v>
      </c>
      <c r="AK147" s="110">
        <v>0</v>
      </c>
      <c r="AL147" s="110"/>
    </row>
    <row r="148" spans="3:38" s="89" customFormat="1" x14ac:dyDescent="0.25">
      <c r="C148" s="90" t="s">
        <v>292</v>
      </c>
      <c r="D148" s="91" t="s">
        <v>129</v>
      </c>
      <c r="E148" s="90" t="s">
        <v>153</v>
      </c>
      <c r="F148" s="90" t="s">
        <v>131</v>
      </c>
      <c r="G148" s="90">
        <f>SintéticoNC!J47</f>
        <v>343031.28</v>
      </c>
      <c r="H148" s="90">
        <f>SintéticoNC!K47</f>
        <v>0</v>
      </c>
      <c r="I148" s="90">
        <f>SintéticoNC!M47</f>
        <v>345423.16507887124</v>
      </c>
      <c r="J148" s="135">
        <f>SintéticoNC!N47</f>
        <v>0</v>
      </c>
      <c r="K148" s="109" t="str">
        <f t="shared" si="16"/>
        <v/>
      </c>
      <c r="L148" s="90"/>
      <c r="M148" s="90"/>
      <c r="N148" s="90"/>
      <c r="O148" s="90"/>
      <c r="P148" s="90"/>
      <c r="Q148" s="90"/>
      <c r="R148" s="90"/>
      <c r="S148" s="90"/>
      <c r="T148" s="90"/>
      <c r="U148" s="90"/>
      <c r="V148" s="90"/>
      <c r="W148" s="90"/>
      <c r="X148" s="90" t="s">
        <v>1</v>
      </c>
      <c r="Y148" s="110"/>
      <c r="Z148" s="111" cm="1">
        <f t="array" ref="Z148:AK148">INDEX(L148:W148,COUNT(L148:W148))</f>
        <v>0</v>
      </c>
      <c r="AA148" s="110">
        <v>0</v>
      </c>
      <c r="AB148" s="110">
        <v>0</v>
      </c>
      <c r="AC148" s="110">
        <v>0</v>
      </c>
      <c r="AD148" s="110">
        <v>0</v>
      </c>
      <c r="AE148" s="110">
        <v>0</v>
      </c>
      <c r="AF148" s="110">
        <v>0</v>
      </c>
      <c r="AG148" s="110">
        <v>0</v>
      </c>
      <c r="AH148" s="110">
        <v>0</v>
      </c>
      <c r="AI148" s="110">
        <v>0</v>
      </c>
      <c r="AJ148" s="110">
        <v>0</v>
      </c>
      <c r="AK148" s="110">
        <v>0</v>
      </c>
      <c r="AL148" s="110"/>
    </row>
    <row r="149" spans="3:38" s="89" customFormat="1" x14ac:dyDescent="0.25">
      <c r="C149" s="90" t="s">
        <v>292</v>
      </c>
      <c r="D149" s="91" t="s">
        <v>132</v>
      </c>
      <c r="E149" s="90" t="s">
        <v>153</v>
      </c>
      <c r="F149" s="90" t="s">
        <v>134</v>
      </c>
      <c r="G149" s="90">
        <f>SintéticoNC!J48</f>
        <v>284986</v>
      </c>
      <c r="H149" s="90">
        <f>SintéticoNC!K48</f>
        <v>0</v>
      </c>
      <c r="I149" s="90">
        <f>SintéticoNC!M48</f>
        <v>286973.14753094001</v>
      </c>
      <c r="J149" s="135">
        <f>SintéticoNC!N48</f>
        <v>0</v>
      </c>
      <c r="K149" s="109" t="str">
        <f t="shared" si="16"/>
        <v/>
      </c>
      <c r="L149" s="90"/>
      <c r="M149" s="90"/>
      <c r="N149" s="90"/>
      <c r="O149" s="90"/>
      <c r="P149" s="90"/>
      <c r="Q149" s="90"/>
      <c r="R149" s="90"/>
      <c r="S149" s="90"/>
      <c r="T149" s="90"/>
      <c r="U149" s="90"/>
      <c r="V149" s="90"/>
      <c r="W149" s="90"/>
      <c r="X149" s="90" t="s">
        <v>1</v>
      </c>
      <c r="Y149" s="110"/>
      <c r="Z149" s="111" cm="1">
        <f t="array" ref="Z149:AK149">INDEX(L149:W149,COUNT(L149:W149))</f>
        <v>0</v>
      </c>
      <c r="AA149" s="110">
        <v>0</v>
      </c>
      <c r="AB149" s="110">
        <v>0</v>
      </c>
      <c r="AC149" s="110">
        <v>0</v>
      </c>
      <c r="AD149" s="110">
        <v>0</v>
      </c>
      <c r="AE149" s="110">
        <v>0</v>
      </c>
      <c r="AF149" s="110">
        <v>0</v>
      </c>
      <c r="AG149" s="110">
        <v>0</v>
      </c>
      <c r="AH149" s="110">
        <v>0</v>
      </c>
      <c r="AI149" s="110">
        <v>0</v>
      </c>
      <c r="AJ149" s="110">
        <v>0</v>
      </c>
      <c r="AK149" s="110">
        <v>0</v>
      </c>
      <c r="AL149" s="110"/>
    </row>
    <row r="150" spans="3:38" s="89" customFormat="1" x14ac:dyDescent="0.25">
      <c r="C150" s="90" t="s">
        <v>292</v>
      </c>
      <c r="D150" s="91" t="s">
        <v>135</v>
      </c>
      <c r="E150" s="90" t="s">
        <v>153</v>
      </c>
      <c r="F150" s="90" t="s">
        <v>137</v>
      </c>
      <c r="G150" s="90">
        <f>SintéticoNC!J49</f>
        <v>345000</v>
      </c>
      <c r="H150" s="90">
        <f>SintéticoNC!K49</f>
        <v>0</v>
      </c>
      <c r="I150" s="90">
        <f>SintéticoNC!M49</f>
        <v>347405.61255000002</v>
      </c>
      <c r="J150" s="135">
        <f>SintéticoNC!N49</f>
        <v>0</v>
      </c>
      <c r="K150" s="109" t="str">
        <f t="shared" si="16"/>
        <v/>
      </c>
      <c r="L150" s="90"/>
      <c r="M150" s="90"/>
      <c r="N150" s="90"/>
      <c r="O150" s="90"/>
      <c r="P150" s="90"/>
      <c r="Q150" s="90"/>
      <c r="R150" s="90"/>
      <c r="S150" s="90"/>
      <c r="T150" s="90"/>
      <c r="U150" s="90"/>
      <c r="V150" s="90"/>
      <c r="W150" s="90"/>
      <c r="X150" s="90" t="s">
        <v>1</v>
      </c>
      <c r="Y150" s="110"/>
      <c r="Z150" s="111" cm="1">
        <f t="array" ref="Z150:AK150">INDEX(L150:W150,COUNT(L150:W150))</f>
        <v>0</v>
      </c>
      <c r="AA150" s="110">
        <v>0</v>
      </c>
      <c r="AB150" s="110">
        <v>0</v>
      </c>
      <c r="AC150" s="110">
        <v>0</v>
      </c>
      <c r="AD150" s="110">
        <v>0</v>
      </c>
      <c r="AE150" s="110">
        <v>0</v>
      </c>
      <c r="AF150" s="110">
        <v>0</v>
      </c>
      <c r="AG150" s="110">
        <v>0</v>
      </c>
      <c r="AH150" s="110">
        <v>0</v>
      </c>
      <c r="AI150" s="110">
        <v>0</v>
      </c>
      <c r="AJ150" s="110">
        <v>0</v>
      </c>
      <c r="AK150" s="110">
        <v>0</v>
      </c>
      <c r="AL150" s="110"/>
    </row>
    <row r="151" spans="3:38" s="89" customFormat="1" x14ac:dyDescent="0.25">
      <c r="C151" s="90" t="s">
        <v>292</v>
      </c>
      <c r="D151" s="91" t="s">
        <v>138</v>
      </c>
      <c r="E151" s="90" t="s">
        <v>153</v>
      </c>
      <c r="F151" s="90" t="s">
        <v>140</v>
      </c>
      <c r="G151" s="90">
        <f>SintéticoNC!J50</f>
        <v>309000</v>
      </c>
      <c r="H151" s="90">
        <f>SintéticoNC!K50</f>
        <v>0</v>
      </c>
      <c r="I151" s="90">
        <f>SintéticoNC!M50</f>
        <v>311154.59211000003</v>
      </c>
      <c r="J151" s="135">
        <f>SintéticoNC!N50</f>
        <v>0</v>
      </c>
      <c r="K151" s="109" t="str">
        <f t="shared" si="16"/>
        <v/>
      </c>
      <c r="L151" s="90"/>
      <c r="M151" s="90"/>
      <c r="N151" s="90"/>
      <c r="O151" s="90"/>
      <c r="P151" s="90"/>
      <c r="Q151" s="90"/>
      <c r="R151" s="90"/>
      <c r="S151" s="90"/>
      <c r="T151" s="90"/>
      <c r="U151" s="90"/>
      <c r="V151" s="90"/>
      <c r="W151" s="90"/>
      <c r="X151" s="90" t="s">
        <v>1</v>
      </c>
      <c r="Y151" s="110"/>
      <c r="Z151" s="111" cm="1">
        <f t="array" ref="Z151:AK151">INDEX(L151:W151,COUNT(L151:W151))</f>
        <v>0</v>
      </c>
      <c r="AA151" s="110">
        <v>0</v>
      </c>
      <c r="AB151" s="110">
        <v>0</v>
      </c>
      <c r="AC151" s="110">
        <v>0</v>
      </c>
      <c r="AD151" s="110">
        <v>0</v>
      </c>
      <c r="AE151" s="110">
        <v>0</v>
      </c>
      <c r="AF151" s="110">
        <v>0</v>
      </c>
      <c r="AG151" s="110">
        <v>0</v>
      </c>
      <c r="AH151" s="110">
        <v>0</v>
      </c>
      <c r="AI151" s="110">
        <v>0</v>
      </c>
      <c r="AJ151" s="110">
        <v>0</v>
      </c>
      <c r="AK151" s="110">
        <v>0</v>
      </c>
      <c r="AL151" s="110"/>
    </row>
    <row r="152" spans="3:38" s="89" customFormat="1" x14ac:dyDescent="0.25">
      <c r="C152" s="90" t="s">
        <v>300</v>
      </c>
      <c r="D152" s="91" t="s">
        <v>23</v>
      </c>
      <c r="E152" s="90" t="s">
        <v>216</v>
      </c>
      <c r="F152" s="90" t="s">
        <v>156</v>
      </c>
      <c r="G152" s="90">
        <f>SintéticoNC!J54</f>
        <v>608000</v>
      </c>
      <c r="H152" s="90">
        <f>SintéticoNC!K54</f>
        <v>0</v>
      </c>
      <c r="I152" s="90">
        <f>SintéticoNC!M54</f>
        <v>612239.45632</v>
      </c>
      <c r="J152" s="135">
        <f>SintéticoNC!N54</f>
        <v>0</v>
      </c>
      <c r="K152" s="97"/>
      <c r="L152" s="90"/>
      <c r="M152" s="90"/>
      <c r="N152" s="90"/>
      <c r="O152" s="90"/>
      <c r="P152" s="90"/>
      <c r="Q152" s="90"/>
      <c r="R152" s="90"/>
      <c r="S152" s="90"/>
      <c r="T152" s="90"/>
      <c r="U152" s="90"/>
      <c r="V152" s="90"/>
      <c r="W152" s="90"/>
      <c r="X152" s="90" t="s">
        <v>1</v>
      </c>
    </row>
    <row r="153" spans="3:38" s="89" customFormat="1" x14ac:dyDescent="0.25">
      <c r="C153" s="90" t="s">
        <v>300</v>
      </c>
      <c r="D153" s="91" t="s">
        <v>23</v>
      </c>
      <c r="E153" s="90" t="s">
        <v>216</v>
      </c>
      <c r="F153" s="90" t="s">
        <v>158</v>
      </c>
      <c r="G153" s="90">
        <f>SintéticoNC!J55</f>
        <v>175000</v>
      </c>
      <c r="H153" s="90">
        <f>SintéticoNC!K55</f>
        <v>0</v>
      </c>
      <c r="I153" s="90">
        <f>SintéticoNC!M55</f>
        <v>176220.23824999999</v>
      </c>
      <c r="J153" s="135">
        <f>SintéticoNC!N54</f>
        <v>0</v>
      </c>
      <c r="K153" s="97"/>
      <c r="L153" s="90"/>
      <c r="M153" s="90"/>
      <c r="N153" s="90"/>
      <c r="O153" s="90"/>
      <c r="P153" s="90"/>
      <c r="Q153" s="90"/>
      <c r="R153" s="90"/>
      <c r="S153" s="90"/>
      <c r="T153" s="90"/>
      <c r="U153" s="90"/>
      <c r="V153" s="90"/>
      <c r="W153" s="90"/>
      <c r="X153" s="90" t="s">
        <v>1</v>
      </c>
    </row>
    <row r="154" spans="3:38" s="89" customFormat="1" x14ac:dyDescent="0.25">
      <c r="C154" s="90" t="s">
        <v>300</v>
      </c>
      <c r="D154" s="91" t="s">
        <v>23</v>
      </c>
      <c r="E154" s="90" t="s">
        <v>216</v>
      </c>
      <c r="F154" s="90" t="s">
        <v>160</v>
      </c>
      <c r="G154" s="90">
        <f>SintéticoNC!J56</f>
        <v>750000</v>
      </c>
      <c r="H154" s="90">
        <f>SintéticoNC!K56</f>
        <v>0</v>
      </c>
      <c r="I154" s="90">
        <f>SintéticoNC!M56</f>
        <v>755229.59250000003</v>
      </c>
      <c r="J154" s="135">
        <f>SintéticoNC!N55</f>
        <v>0</v>
      </c>
      <c r="K154" s="97"/>
      <c r="L154" s="90"/>
      <c r="M154" s="90"/>
      <c r="N154" s="90"/>
      <c r="O154" s="90"/>
      <c r="P154" s="90"/>
      <c r="Q154" s="90"/>
      <c r="R154" s="90"/>
      <c r="S154" s="90"/>
      <c r="T154" s="90"/>
      <c r="U154" s="90"/>
      <c r="V154" s="90"/>
      <c r="W154" s="90"/>
      <c r="X154" s="90" t="s">
        <v>1</v>
      </c>
    </row>
    <row r="155" spans="3:38" s="89" customFormat="1" x14ac:dyDescent="0.25">
      <c r="C155" s="90" t="s">
        <v>300</v>
      </c>
      <c r="D155" s="91" t="s">
        <v>27</v>
      </c>
      <c r="E155" s="90" t="s">
        <v>216</v>
      </c>
      <c r="F155" s="90" t="s">
        <v>162</v>
      </c>
      <c r="G155" s="90">
        <f>SintéticoNC!J57</f>
        <v>5200000</v>
      </c>
      <c r="H155" s="90">
        <f>SintéticoNC!K57</f>
        <v>0</v>
      </c>
      <c r="I155" s="90">
        <f>SintéticoNC!M57</f>
        <v>5236258.5080000004</v>
      </c>
      <c r="J155" s="135">
        <f>SintéticoNC!N56</f>
        <v>0</v>
      </c>
      <c r="K155" s="97"/>
      <c r="L155" s="90"/>
      <c r="M155" s="90"/>
      <c r="N155" s="90"/>
      <c r="O155" s="90"/>
      <c r="P155" s="90"/>
      <c r="Q155" s="90"/>
      <c r="R155" s="90"/>
      <c r="S155" s="90"/>
      <c r="T155" s="90"/>
      <c r="U155" s="90"/>
      <c r="V155" s="90"/>
      <c r="W155" s="90"/>
      <c r="X155" s="90" t="s">
        <v>1</v>
      </c>
    </row>
    <row r="156" spans="3:38" s="89" customFormat="1" x14ac:dyDescent="0.25">
      <c r="C156" s="90" t="s">
        <v>300</v>
      </c>
      <c r="D156" s="91" t="s">
        <v>29</v>
      </c>
      <c r="E156" s="90" t="s">
        <v>216</v>
      </c>
      <c r="F156" s="90" t="s">
        <v>164</v>
      </c>
      <c r="G156" s="90">
        <f>SintéticoNC!J58</f>
        <v>695280</v>
      </c>
      <c r="H156" s="90">
        <f>SintéticoNC!K58</f>
        <v>0</v>
      </c>
      <c r="I156" s="90">
        <f>SintéticoNC!M58</f>
        <v>700128.04143119999</v>
      </c>
      <c r="J156" s="135">
        <f>SintéticoNC!N57</f>
        <v>0</v>
      </c>
      <c r="K156" s="97"/>
      <c r="L156" s="90"/>
      <c r="M156" s="90"/>
      <c r="N156" s="90"/>
      <c r="O156" s="90"/>
      <c r="P156" s="90"/>
      <c r="Q156" s="90"/>
      <c r="R156" s="90"/>
      <c r="S156" s="90"/>
      <c r="T156" s="90"/>
      <c r="U156" s="90"/>
      <c r="V156" s="90"/>
      <c r="W156" s="90"/>
      <c r="X156" s="90" t="s">
        <v>1</v>
      </c>
    </row>
    <row r="157" spans="3:38" s="89" customFormat="1" x14ac:dyDescent="0.25">
      <c r="C157" s="90" t="s">
        <v>300</v>
      </c>
      <c r="D157" s="91" t="s">
        <v>31</v>
      </c>
      <c r="E157" s="90" t="s">
        <v>216</v>
      </c>
      <c r="F157" s="90" t="s">
        <v>166</v>
      </c>
      <c r="G157" s="90">
        <f>SintéticoNC!J59</f>
        <v>783000</v>
      </c>
      <c r="H157" s="90">
        <f>SintéticoNC!K59</f>
        <v>0</v>
      </c>
      <c r="I157" s="90">
        <f>SintéticoNC!M59</f>
        <v>788459.69457000005</v>
      </c>
      <c r="J157" s="135">
        <f>SintéticoNC!N58</f>
        <v>0</v>
      </c>
      <c r="K157" s="97"/>
      <c r="L157" s="90"/>
      <c r="M157" s="90"/>
      <c r="N157" s="90"/>
      <c r="O157" s="90"/>
      <c r="P157" s="90"/>
      <c r="Q157" s="90"/>
      <c r="R157" s="90"/>
      <c r="S157" s="90"/>
      <c r="T157" s="90"/>
      <c r="U157" s="90"/>
      <c r="V157" s="90"/>
      <c r="W157" s="90"/>
      <c r="X157" s="90" t="s">
        <v>1</v>
      </c>
    </row>
    <row r="158" spans="3:38" s="89" customFormat="1" x14ac:dyDescent="0.25">
      <c r="C158" s="90" t="s">
        <v>300</v>
      </c>
      <c r="D158" s="91" t="s">
        <v>31</v>
      </c>
      <c r="E158" s="90" t="s">
        <v>216</v>
      </c>
      <c r="F158" s="90" t="s">
        <v>168</v>
      </c>
      <c r="G158" s="90">
        <f>SintéticoNC!J60</f>
        <v>840153.99</v>
      </c>
      <c r="H158" s="90">
        <f>SintéticoNC!K60</f>
        <v>0</v>
      </c>
      <c r="I158" s="90">
        <f>SintéticoNC!M60</f>
        <v>846012.20733993209</v>
      </c>
      <c r="J158" s="135">
        <f>SintéticoNC!N59</f>
        <v>0</v>
      </c>
      <c r="K158" s="97"/>
      <c r="L158" s="90"/>
      <c r="M158" s="90"/>
      <c r="N158" s="90"/>
      <c r="O158" s="90"/>
      <c r="P158" s="90"/>
      <c r="Q158" s="90"/>
      <c r="R158" s="90"/>
      <c r="S158" s="90"/>
      <c r="T158" s="90"/>
      <c r="U158" s="90"/>
      <c r="V158" s="90"/>
      <c r="W158" s="90"/>
      <c r="X158" s="90" t="s">
        <v>1</v>
      </c>
    </row>
    <row r="159" spans="3:38" s="89" customFormat="1" x14ac:dyDescent="0.25">
      <c r="C159" s="90" t="s">
        <v>300</v>
      </c>
      <c r="D159" s="91" t="s">
        <v>37</v>
      </c>
      <c r="E159" s="90" t="s">
        <v>216</v>
      </c>
      <c r="F159" s="90" t="s">
        <v>170</v>
      </c>
      <c r="G159" s="90">
        <f>SintéticoNC!J61</f>
        <v>184000</v>
      </c>
      <c r="H159" s="90">
        <f>SintéticoNC!K61</f>
        <v>0</v>
      </c>
      <c r="I159" s="90">
        <f>SintéticoNC!M61</f>
        <v>185282.99335999999</v>
      </c>
      <c r="J159" s="135">
        <f>SintéticoNC!N60</f>
        <v>0</v>
      </c>
      <c r="K159" s="97"/>
      <c r="L159" s="90"/>
      <c r="M159" s="90"/>
      <c r="N159" s="90"/>
      <c r="O159" s="90"/>
      <c r="P159" s="90"/>
      <c r="Q159" s="90"/>
      <c r="R159" s="90"/>
      <c r="S159" s="90"/>
      <c r="T159" s="90"/>
      <c r="U159" s="90"/>
      <c r="V159" s="90"/>
      <c r="W159" s="90"/>
      <c r="X159" s="90" t="s">
        <v>1</v>
      </c>
    </row>
    <row r="160" spans="3:38" s="89" customFormat="1" x14ac:dyDescent="0.25">
      <c r="C160" s="90" t="s">
        <v>300</v>
      </c>
      <c r="D160" s="91" t="s">
        <v>37</v>
      </c>
      <c r="E160" s="90" t="s">
        <v>216</v>
      </c>
      <c r="F160" s="90" t="s">
        <v>172</v>
      </c>
      <c r="G160" s="90">
        <f>SintéticoNC!J62</f>
        <v>312420</v>
      </c>
      <c r="H160" s="90">
        <f>SintéticoNC!K62</f>
        <v>0</v>
      </c>
      <c r="I160" s="90">
        <f>SintéticoNC!M62</f>
        <v>314598.4390518</v>
      </c>
      <c r="J160" s="135">
        <f>SintéticoNC!N61</f>
        <v>0</v>
      </c>
      <c r="K160" s="97"/>
      <c r="L160" s="90"/>
      <c r="M160" s="90"/>
      <c r="N160" s="90"/>
      <c r="O160" s="90"/>
      <c r="P160" s="90"/>
      <c r="Q160" s="90"/>
      <c r="R160" s="90"/>
      <c r="S160" s="90"/>
      <c r="T160" s="90"/>
      <c r="U160" s="90"/>
      <c r="V160" s="90"/>
      <c r="W160" s="90"/>
      <c r="X160" s="90" t="s">
        <v>1</v>
      </c>
    </row>
    <row r="161" spans="3:24" s="89" customFormat="1" x14ac:dyDescent="0.25">
      <c r="C161" s="90" t="s">
        <v>300</v>
      </c>
      <c r="D161" s="91" t="s">
        <v>45</v>
      </c>
      <c r="E161" s="90" t="s">
        <v>216</v>
      </c>
      <c r="F161" s="90" t="s">
        <v>174</v>
      </c>
      <c r="G161" s="90">
        <f>SintéticoNC!J63</f>
        <v>61500</v>
      </c>
      <c r="H161" s="90">
        <f>SintéticoNC!K63</f>
        <v>0</v>
      </c>
      <c r="I161" s="90">
        <f>SintéticoNC!M63</f>
        <v>61928.826585000003</v>
      </c>
      <c r="J161" s="135">
        <f>SintéticoNC!N62</f>
        <v>0</v>
      </c>
      <c r="K161" s="97"/>
      <c r="L161" s="90"/>
      <c r="M161" s="90"/>
      <c r="N161" s="90"/>
      <c r="O161" s="90"/>
      <c r="P161" s="90"/>
      <c r="Q161" s="90"/>
      <c r="R161" s="90"/>
      <c r="S161" s="90"/>
      <c r="T161" s="90"/>
      <c r="U161" s="90"/>
      <c r="V161" s="90"/>
      <c r="W161" s="90"/>
      <c r="X161" s="90" t="s">
        <v>1</v>
      </c>
    </row>
    <row r="162" spans="3:24" s="89" customFormat="1" x14ac:dyDescent="0.25">
      <c r="C162" s="90" t="s">
        <v>300</v>
      </c>
      <c r="D162" s="91" t="s">
        <v>48</v>
      </c>
      <c r="E162" s="90" t="s">
        <v>216</v>
      </c>
      <c r="F162" s="90" t="s">
        <v>176</v>
      </c>
      <c r="G162" s="90">
        <f>SintéticoNC!J64</f>
        <v>93000</v>
      </c>
      <c r="H162" s="90">
        <f>SintéticoNC!K64</f>
        <v>0</v>
      </c>
      <c r="I162" s="90">
        <f>SintéticoNC!M64</f>
        <v>93648.469469999996</v>
      </c>
      <c r="J162" s="135">
        <f>SintéticoNC!N63</f>
        <v>0</v>
      </c>
      <c r="K162" s="97"/>
      <c r="L162" s="90"/>
      <c r="M162" s="90"/>
      <c r="N162" s="90"/>
      <c r="O162" s="90"/>
      <c r="P162" s="90"/>
      <c r="Q162" s="90"/>
      <c r="R162" s="90"/>
      <c r="S162" s="90"/>
      <c r="T162" s="90"/>
      <c r="U162" s="90"/>
      <c r="V162" s="90"/>
      <c r="W162" s="90"/>
      <c r="X162" s="90" t="s">
        <v>1</v>
      </c>
    </row>
    <row r="163" spans="3:24" s="89" customFormat="1" x14ac:dyDescent="0.25">
      <c r="C163" s="90" t="s">
        <v>300</v>
      </c>
      <c r="D163" s="91" t="s">
        <v>51</v>
      </c>
      <c r="E163" s="90" t="s">
        <v>216</v>
      </c>
      <c r="F163" s="90" t="s">
        <v>178</v>
      </c>
      <c r="G163" s="90">
        <f>SintéticoNC!J65</f>
        <v>92000</v>
      </c>
      <c r="H163" s="90">
        <f>SintéticoNC!K65</f>
        <v>0</v>
      </c>
      <c r="I163" s="90">
        <f>SintéticoNC!M65</f>
        <v>92641.496679999997</v>
      </c>
      <c r="J163" s="135">
        <f>SintéticoNC!N64</f>
        <v>0</v>
      </c>
      <c r="K163" s="97"/>
      <c r="L163" s="90"/>
      <c r="M163" s="90"/>
      <c r="N163" s="90"/>
      <c r="O163" s="90"/>
      <c r="P163" s="90"/>
      <c r="Q163" s="90"/>
      <c r="R163" s="90"/>
      <c r="S163" s="90"/>
      <c r="T163" s="90"/>
      <c r="U163" s="90"/>
      <c r="V163" s="90"/>
      <c r="W163" s="90"/>
      <c r="X163" s="90" t="s">
        <v>1</v>
      </c>
    </row>
    <row r="164" spans="3:24" s="89" customFormat="1" x14ac:dyDescent="0.25">
      <c r="C164" s="90" t="s">
        <v>300</v>
      </c>
      <c r="D164" s="91" t="s">
        <v>60</v>
      </c>
      <c r="E164" s="90" t="s">
        <v>216</v>
      </c>
      <c r="F164" s="90" t="s">
        <v>180</v>
      </c>
      <c r="G164" s="90">
        <f>SintéticoNC!J66</f>
        <v>41880</v>
      </c>
      <c r="H164" s="90">
        <f>SintéticoNC!K66</f>
        <v>0</v>
      </c>
      <c r="I164" s="90">
        <f>SintéticoNC!M66</f>
        <v>42172.020445200003</v>
      </c>
      <c r="J164" s="135">
        <f>SintéticoNC!N65</f>
        <v>0</v>
      </c>
      <c r="K164" s="97"/>
      <c r="L164" s="90"/>
      <c r="M164" s="90"/>
      <c r="N164" s="90"/>
      <c r="O164" s="90"/>
      <c r="P164" s="90"/>
      <c r="Q164" s="90"/>
      <c r="R164" s="90"/>
      <c r="S164" s="90"/>
      <c r="T164" s="90"/>
      <c r="U164" s="90"/>
      <c r="V164" s="90"/>
      <c r="W164" s="90"/>
      <c r="X164" s="90" t="s">
        <v>1</v>
      </c>
    </row>
    <row r="165" spans="3:24" s="89" customFormat="1" x14ac:dyDescent="0.25">
      <c r="C165" s="90" t="s">
        <v>300</v>
      </c>
      <c r="D165" s="91" t="s">
        <v>63</v>
      </c>
      <c r="E165" s="90" t="s">
        <v>216</v>
      </c>
      <c r="F165" s="90" t="s">
        <v>182</v>
      </c>
      <c r="G165" s="90">
        <f>SintéticoNC!J67</f>
        <v>368544</v>
      </c>
      <c r="H165" s="90">
        <f>SintéticoNC!K67</f>
        <v>0</v>
      </c>
      <c r="I165" s="90">
        <f>SintéticoNC!M67</f>
        <v>371113.77991776</v>
      </c>
      <c r="J165" s="135">
        <f>SintéticoNC!N66</f>
        <v>0</v>
      </c>
      <c r="K165" s="97"/>
      <c r="L165" s="90"/>
      <c r="M165" s="90"/>
      <c r="N165" s="90"/>
      <c r="O165" s="90"/>
      <c r="P165" s="90"/>
      <c r="Q165" s="90"/>
      <c r="R165" s="90"/>
      <c r="S165" s="90"/>
      <c r="T165" s="90"/>
      <c r="U165" s="90"/>
      <c r="V165" s="90"/>
      <c r="W165" s="90"/>
      <c r="X165" s="90" t="s">
        <v>1</v>
      </c>
    </row>
    <row r="166" spans="3:24" s="89" customFormat="1" x14ac:dyDescent="0.25">
      <c r="C166" s="90" t="s">
        <v>300</v>
      </c>
      <c r="D166" s="91" t="s">
        <v>69</v>
      </c>
      <c r="E166" s="90" t="s">
        <v>216</v>
      </c>
      <c r="F166" s="90" t="s">
        <v>184</v>
      </c>
      <c r="G166" s="90">
        <f>SintéticoNC!J68</f>
        <v>93000</v>
      </c>
      <c r="H166" s="90">
        <f>SintéticoNC!K68</f>
        <v>0</v>
      </c>
      <c r="I166" s="90">
        <f>SintéticoNC!M68</f>
        <v>93648.469469999996</v>
      </c>
      <c r="J166" s="135">
        <f>SintéticoNC!N67</f>
        <v>0</v>
      </c>
      <c r="K166" s="97"/>
      <c r="L166" s="90"/>
      <c r="M166" s="90"/>
      <c r="N166" s="90"/>
      <c r="O166" s="90"/>
      <c r="P166" s="90"/>
      <c r="Q166" s="90"/>
      <c r="R166" s="90"/>
      <c r="S166" s="90"/>
      <c r="T166" s="90"/>
      <c r="U166" s="90"/>
      <c r="V166" s="90"/>
      <c r="W166" s="90"/>
      <c r="X166" s="90" t="s">
        <v>1</v>
      </c>
    </row>
    <row r="167" spans="3:24" s="89" customFormat="1" x14ac:dyDescent="0.25">
      <c r="C167" s="90" t="s">
        <v>300</v>
      </c>
      <c r="D167" s="91" t="s">
        <v>78</v>
      </c>
      <c r="E167" s="90" t="s">
        <v>216</v>
      </c>
      <c r="F167" s="90" t="s">
        <v>186</v>
      </c>
      <c r="G167" s="90">
        <f>SintéticoNC!J69</f>
        <v>93000</v>
      </c>
      <c r="H167" s="90">
        <f>SintéticoNC!K69</f>
        <v>0</v>
      </c>
      <c r="I167" s="90">
        <f>SintéticoNC!M69</f>
        <v>93648.469469999996</v>
      </c>
      <c r="J167" s="135">
        <f>SintéticoNC!N68</f>
        <v>0</v>
      </c>
      <c r="K167" s="97"/>
      <c r="L167" s="90"/>
      <c r="M167" s="90"/>
      <c r="N167" s="90"/>
      <c r="O167" s="90"/>
      <c r="P167" s="90"/>
      <c r="Q167" s="90"/>
      <c r="R167" s="90"/>
      <c r="S167" s="90"/>
      <c r="T167" s="90"/>
      <c r="U167" s="90"/>
      <c r="V167" s="90"/>
      <c r="W167" s="90"/>
      <c r="X167" s="90" t="s">
        <v>1</v>
      </c>
    </row>
    <row r="168" spans="3:24" s="89" customFormat="1" x14ac:dyDescent="0.25">
      <c r="C168" s="90" t="s">
        <v>300</v>
      </c>
      <c r="D168" s="91" t="s">
        <v>81</v>
      </c>
      <c r="E168" s="90" t="s">
        <v>216</v>
      </c>
      <c r="F168" s="90" t="s">
        <v>188</v>
      </c>
      <c r="G168" s="90">
        <f>SintéticoNC!J70</f>
        <v>48000</v>
      </c>
      <c r="H168" s="90">
        <f>SintéticoNC!K70</f>
        <v>0</v>
      </c>
      <c r="I168" s="90">
        <f>SintéticoNC!M70</f>
        <v>48334.693919999998</v>
      </c>
      <c r="J168" s="135">
        <f>SintéticoNC!N69</f>
        <v>0</v>
      </c>
      <c r="K168" s="97"/>
      <c r="L168" s="90"/>
      <c r="M168" s="90"/>
      <c r="N168" s="90"/>
      <c r="O168" s="90"/>
      <c r="P168" s="90"/>
      <c r="Q168" s="90"/>
      <c r="R168" s="90"/>
      <c r="S168" s="90"/>
      <c r="T168" s="90"/>
      <c r="U168" s="90"/>
      <c r="V168" s="90"/>
      <c r="W168" s="90"/>
      <c r="X168" s="90" t="s">
        <v>1</v>
      </c>
    </row>
    <row r="169" spans="3:24" s="89" customFormat="1" x14ac:dyDescent="0.25">
      <c r="C169" s="90" t="s">
        <v>300</v>
      </c>
      <c r="D169" s="91" t="s">
        <v>84</v>
      </c>
      <c r="E169" s="90" t="s">
        <v>216</v>
      </c>
      <c r="F169" s="90" t="s">
        <v>190</v>
      </c>
      <c r="G169" s="90">
        <f>SintéticoNC!J71</f>
        <v>155000</v>
      </c>
      <c r="H169" s="90">
        <f>SintéticoNC!K71</f>
        <v>0</v>
      </c>
      <c r="I169" s="90">
        <f>SintéticoNC!M71</f>
        <v>156080.78245</v>
      </c>
      <c r="J169" s="135">
        <f>SintéticoNC!N70</f>
        <v>0</v>
      </c>
      <c r="K169" s="97"/>
      <c r="L169" s="90"/>
      <c r="M169" s="90"/>
      <c r="N169" s="90"/>
      <c r="O169" s="90"/>
      <c r="P169" s="90"/>
      <c r="Q169" s="90"/>
      <c r="R169" s="90"/>
      <c r="S169" s="90"/>
      <c r="T169" s="90"/>
      <c r="U169" s="90"/>
      <c r="V169" s="90"/>
      <c r="W169" s="90"/>
      <c r="X169" s="90" t="s">
        <v>1</v>
      </c>
    </row>
    <row r="170" spans="3:24" s="89" customFormat="1" x14ac:dyDescent="0.25">
      <c r="C170" s="90" t="s">
        <v>300</v>
      </c>
      <c r="D170" s="91" t="s">
        <v>87</v>
      </c>
      <c r="E170" s="90" t="s">
        <v>216</v>
      </c>
      <c r="F170" s="90" t="s">
        <v>192</v>
      </c>
      <c r="G170" s="90">
        <f>SintéticoNC!J72</f>
        <v>170000</v>
      </c>
      <c r="H170" s="90">
        <f>SintéticoNC!K72</f>
        <v>0</v>
      </c>
      <c r="I170" s="90">
        <f>SintéticoNC!M72</f>
        <v>171185.3743</v>
      </c>
      <c r="J170" s="135">
        <f>SintéticoNC!N71</f>
        <v>0</v>
      </c>
      <c r="K170" s="97"/>
      <c r="L170" s="90"/>
      <c r="M170" s="90"/>
      <c r="N170" s="90"/>
      <c r="O170" s="90"/>
      <c r="P170" s="90"/>
      <c r="Q170" s="90"/>
      <c r="R170" s="90"/>
      <c r="S170" s="90"/>
      <c r="T170" s="90"/>
      <c r="U170" s="90"/>
      <c r="V170" s="90"/>
      <c r="W170" s="90"/>
      <c r="X170" s="90" t="s">
        <v>1</v>
      </c>
    </row>
    <row r="171" spans="3:24" s="89" customFormat="1" x14ac:dyDescent="0.25">
      <c r="C171" s="90" t="s">
        <v>300</v>
      </c>
      <c r="D171" s="91" t="s">
        <v>93</v>
      </c>
      <c r="E171" s="90" t="s">
        <v>216</v>
      </c>
      <c r="F171" s="90" t="s">
        <v>194</v>
      </c>
      <c r="G171" s="90">
        <f>SintéticoNC!J73</f>
        <v>93000</v>
      </c>
      <c r="H171" s="90">
        <f>SintéticoNC!K73</f>
        <v>0</v>
      </c>
      <c r="I171" s="90">
        <f>SintéticoNC!M73</f>
        <v>93648.469469999996</v>
      </c>
      <c r="J171" s="135">
        <f>SintéticoNC!N72</f>
        <v>0</v>
      </c>
      <c r="K171" s="97"/>
      <c r="L171" s="90"/>
      <c r="M171" s="90"/>
      <c r="N171" s="90"/>
      <c r="O171" s="90"/>
      <c r="P171" s="90"/>
      <c r="Q171" s="90"/>
      <c r="R171" s="90"/>
      <c r="S171" s="90"/>
      <c r="T171" s="90"/>
      <c r="U171" s="90"/>
      <c r="V171" s="90"/>
      <c r="W171" s="90"/>
      <c r="X171" s="90" t="s">
        <v>1</v>
      </c>
    </row>
    <row r="172" spans="3:24" s="89" customFormat="1" x14ac:dyDescent="0.25">
      <c r="C172" s="90" t="s">
        <v>300</v>
      </c>
      <c r="D172" s="91" t="s">
        <v>96</v>
      </c>
      <c r="E172" s="90" t="s">
        <v>216</v>
      </c>
      <c r="F172" s="90" t="s">
        <v>196</v>
      </c>
      <c r="G172" s="90">
        <f>SintéticoNC!J74</f>
        <v>93000</v>
      </c>
      <c r="H172" s="90">
        <f>SintéticoNC!K74</f>
        <v>0</v>
      </c>
      <c r="I172" s="90">
        <f>SintéticoNC!M74</f>
        <v>93648.469469999996</v>
      </c>
      <c r="J172" s="135">
        <f>SintéticoNC!N73</f>
        <v>0</v>
      </c>
      <c r="K172" s="97"/>
      <c r="L172" s="90"/>
      <c r="M172" s="90"/>
      <c r="N172" s="90"/>
      <c r="O172" s="90"/>
      <c r="P172" s="90"/>
      <c r="Q172" s="90"/>
      <c r="R172" s="90"/>
      <c r="S172" s="90"/>
      <c r="T172" s="90"/>
      <c r="U172" s="90"/>
      <c r="V172" s="90"/>
      <c r="W172" s="90"/>
      <c r="X172" s="90" t="s">
        <v>1</v>
      </c>
    </row>
    <row r="173" spans="3:24" s="89" customFormat="1" x14ac:dyDescent="0.25">
      <c r="C173" s="90" t="s">
        <v>300</v>
      </c>
      <c r="D173" s="91" t="s">
        <v>99</v>
      </c>
      <c r="E173" s="90" t="s">
        <v>216</v>
      </c>
      <c r="F173" s="90" t="s">
        <v>198</v>
      </c>
      <c r="G173" s="90">
        <f>SintéticoNC!J75</f>
        <v>170000</v>
      </c>
      <c r="H173" s="90">
        <f>SintéticoNC!K75</f>
        <v>0</v>
      </c>
      <c r="I173" s="90">
        <f>SintéticoNC!M75</f>
        <v>171185.3743</v>
      </c>
      <c r="J173" s="135">
        <f>SintéticoNC!N74</f>
        <v>0</v>
      </c>
      <c r="K173" s="97"/>
      <c r="L173" s="90"/>
      <c r="M173" s="90"/>
      <c r="N173" s="90"/>
      <c r="O173" s="90"/>
      <c r="P173" s="90"/>
      <c r="Q173" s="90"/>
      <c r="R173" s="90"/>
      <c r="S173" s="90"/>
      <c r="T173" s="90"/>
      <c r="U173" s="90"/>
      <c r="V173" s="90"/>
      <c r="W173" s="90"/>
      <c r="X173" s="90" t="s">
        <v>1</v>
      </c>
    </row>
    <row r="174" spans="3:24" s="89" customFormat="1" x14ac:dyDescent="0.25">
      <c r="C174" s="90" t="s">
        <v>300</v>
      </c>
      <c r="D174" s="91" t="s">
        <v>102</v>
      </c>
      <c r="E174" s="90" t="s">
        <v>216</v>
      </c>
      <c r="F174" s="90" t="s">
        <v>200</v>
      </c>
      <c r="G174" s="90">
        <f>SintéticoNC!J76</f>
        <v>93000</v>
      </c>
      <c r="H174" s="90">
        <f>SintéticoNC!K76</f>
        <v>0</v>
      </c>
      <c r="I174" s="90">
        <f>SintéticoNC!M76</f>
        <v>93648.469469999996</v>
      </c>
      <c r="J174" s="135">
        <f>SintéticoNC!N75</f>
        <v>0</v>
      </c>
      <c r="K174" s="97"/>
      <c r="L174" s="90"/>
      <c r="M174" s="90"/>
      <c r="N174" s="90"/>
      <c r="O174" s="90"/>
      <c r="P174" s="90"/>
      <c r="Q174" s="90"/>
      <c r="R174" s="90"/>
      <c r="S174" s="90"/>
      <c r="T174" s="90"/>
      <c r="U174" s="90"/>
      <c r="V174" s="90"/>
      <c r="W174" s="90"/>
      <c r="X174" s="90" t="s">
        <v>1</v>
      </c>
    </row>
    <row r="175" spans="3:24" s="89" customFormat="1" x14ac:dyDescent="0.25">
      <c r="C175" s="90" t="s">
        <v>300</v>
      </c>
      <c r="D175" s="91" t="s">
        <v>123</v>
      </c>
      <c r="E175" s="90" t="s">
        <v>216</v>
      </c>
      <c r="F175" s="90" t="s">
        <v>202</v>
      </c>
      <c r="G175" s="90">
        <f>SintéticoNC!J77</f>
        <v>192996</v>
      </c>
      <c r="H175" s="90">
        <f>SintéticoNC!K77</f>
        <v>0</v>
      </c>
      <c r="I175" s="90">
        <f>SintéticoNC!M77</f>
        <v>194341.72057884</v>
      </c>
      <c r="J175" s="135">
        <f>SintéticoNC!N76</f>
        <v>0</v>
      </c>
      <c r="K175" s="97"/>
      <c r="L175" s="90"/>
      <c r="M175" s="90"/>
      <c r="N175" s="90"/>
      <c r="O175" s="90"/>
      <c r="P175" s="90"/>
      <c r="Q175" s="90"/>
      <c r="R175" s="90"/>
      <c r="S175" s="90"/>
      <c r="T175" s="90"/>
      <c r="U175" s="90"/>
      <c r="V175" s="90"/>
      <c r="W175" s="90"/>
      <c r="X175" s="90" t="s">
        <v>1</v>
      </c>
    </row>
    <row r="176" spans="3:24" s="89" customFormat="1" x14ac:dyDescent="0.25">
      <c r="C176" s="90" t="s">
        <v>300</v>
      </c>
      <c r="D176" s="91" t="s">
        <v>132</v>
      </c>
      <c r="E176" s="90" t="s">
        <v>216</v>
      </c>
      <c r="F176" s="90" t="s">
        <v>204</v>
      </c>
      <c r="G176" s="90">
        <f>SintéticoNC!J78</f>
        <v>132614</v>
      </c>
      <c r="H176" s="90">
        <f>SintéticoNC!K78</f>
        <v>0</v>
      </c>
      <c r="I176" s="90">
        <f>SintéticoNC!M78</f>
        <v>133538.68957305999</v>
      </c>
      <c r="J176" s="135">
        <f>SintéticoNC!N77</f>
        <v>0</v>
      </c>
      <c r="K176" s="97"/>
      <c r="L176" s="90"/>
      <c r="M176" s="90"/>
      <c r="N176" s="90"/>
      <c r="O176" s="90"/>
      <c r="P176" s="90"/>
      <c r="Q176" s="90"/>
      <c r="R176" s="90"/>
      <c r="S176" s="90"/>
      <c r="T176" s="90"/>
      <c r="U176" s="90"/>
      <c r="V176" s="90"/>
      <c r="W176" s="90"/>
      <c r="X176" s="90" t="s">
        <v>1</v>
      </c>
    </row>
    <row r="177" spans="3:38" s="89" customFormat="1" x14ac:dyDescent="0.25">
      <c r="C177" s="90" t="s">
        <v>300</v>
      </c>
      <c r="D177" s="91" t="s">
        <v>138</v>
      </c>
      <c r="E177" s="90" t="s">
        <v>216</v>
      </c>
      <c r="F177" s="90" t="s">
        <v>206</v>
      </c>
      <c r="G177" s="90">
        <f>SintéticoNC!J79</f>
        <v>141000</v>
      </c>
      <c r="H177" s="90">
        <f>SintéticoNC!K79</f>
        <v>0</v>
      </c>
      <c r="I177" s="90">
        <f>SintéticoNC!M79</f>
        <v>141983.16339</v>
      </c>
      <c r="J177" s="135">
        <f>SintéticoNC!N78</f>
        <v>0</v>
      </c>
      <c r="K177" s="97"/>
      <c r="L177" s="90"/>
      <c r="M177" s="90"/>
      <c r="N177" s="90"/>
      <c r="O177" s="90"/>
      <c r="P177" s="90"/>
      <c r="Q177" s="90"/>
      <c r="R177" s="90"/>
      <c r="S177" s="90"/>
      <c r="T177" s="90"/>
      <c r="U177" s="90"/>
      <c r="V177" s="90"/>
      <c r="W177" s="90"/>
      <c r="X177" s="90" t="s">
        <v>1</v>
      </c>
    </row>
    <row r="178" spans="3:38" s="89" customFormat="1" x14ac:dyDescent="0.25">
      <c r="C178" s="90" t="s">
        <v>300</v>
      </c>
      <c r="D178" s="91" t="s">
        <v>135</v>
      </c>
      <c r="E178" s="90" t="s">
        <v>216</v>
      </c>
      <c r="F178" s="90" t="s">
        <v>208</v>
      </c>
      <c r="G178" s="90">
        <f>SintéticoNC!J80</f>
        <v>155000</v>
      </c>
      <c r="H178" s="90">
        <f>SintéticoNC!K80</f>
        <v>0</v>
      </c>
      <c r="I178" s="90">
        <f>SintéticoNC!M80</f>
        <v>156080.78245</v>
      </c>
      <c r="J178" s="135">
        <f>SintéticoNC!N79</f>
        <v>0</v>
      </c>
      <c r="K178" s="97"/>
      <c r="L178" s="90"/>
      <c r="M178" s="90"/>
      <c r="N178" s="90"/>
      <c r="O178" s="90"/>
      <c r="P178" s="90"/>
      <c r="Q178" s="90"/>
      <c r="R178" s="90"/>
      <c r="S178" s="90"/>
      <c r="T178" s="90"/>
      <c r="U178" s="90"/>
      <c r="V178" s="90"/>
      <c r="W178" s="90"/>
      <c r="X178" s="90" t="s">
        <v>1</v>
      </c>
    </row>
    <row r="179" spans="3:38" s="89" customFormat="1" x14ac:dyDescent="0.25">
      <c r="C179" s="90" t="s">
        <v>300</v>
      </c>
      <c r="D179" s="91" t="s">
        <v>209</v>
      </c>
      <c r="E179" s="90" t="s">
        <v>216</v>
      </c>
      <c r="F179" s="90" t="s">
        <v>211</v>
      </c>
      <c r="G179" s="90">
        <f>SintéticoNC!J81</f>
        <v>500000</v>
      </c>
      <c r="H179" s="90">
        <f>SintéticoNC!K81</f>
        <v>0</v>
      </c>
      <c r="I179" s="90">
        <f>SintéticoNC!M81</f>
        <v>503486.39500000002</v>
      </c>
      <c r="J179" s="135">
        <f>SintéticoNC!N80</f>
        <v>0</v>
      </c>
      <c r="K179" s="97"/>
      <c r="L179" s="90"/>
      <c r="M179" s="90"/>
      <c r="N179" s="90"/>
      <c r="O179" s="90"/>
      <c r="P179" s="90"/>
      <c r="Q179" s="90"/>
      <c r="R179" s="90"/>
      <c r="S179" s="90"/>
      <c r="T179" s="90"/>
      <c r="U179" s="90"/>
      <c r="V179" s="90"/>
      <c r="W179" s="90"/>
      <c r="X179" s="90" t="s">
        <v>1</v>
      </c>
    </row>
    <row r="180" spans="3:38" s="89" customFormat="1" x14ac:dyDescent="0.25">
      <c r="C180" s="90" t="s">
        <v>300</v>
      </c>
      <c r="D180" s="91" t="s">
        <v>40</v>
      </c>
      <c r="E180" s="90" t="s">
        <v>216</v>
      </c>
      <c r="F180" s="90" t="s">
        <v>213</v>
      </c>
      <c r="G180" s="90">
        <f>SintéticoNC!J82</f>
        <v>93000</v>
      </c>
      <c r="H180" s="90">
        <f>SintéticoNC!K82</f>
        <v>0</v>
      </c>
      <c r="I180" s="90">
        <f>SintéticoNC!M82</f>
        <v>93648.469469999996</v>
      </c>
      <c r="J180" s="135">
        <f>SintéticoNC!N81</f>
        <v>0</v>
      </c>
      <c r="K180" s="97"/>
      <c r="L180" s="90"/>
      <c r="M180" s="90"/>
      <c r="N180" s="90"/>
      <c r="O180" s="90"/>
      <c r="P180" s="90"/>
      <c r="Q180" s="90"/>
      <c r="R180" s="90"/>
      <c r="S180" s="90"/>
      <c r="T180" s="90"/>
      <c r="U180" s="90"/>
      <c r="V180" s="90"/>
      <c r="W180" s="90"/>
      <c r="X180" s="90" t="s">
        <v>1</v>
      </c>
    </row>
    <row r="181" spans="3:38" s="89" customFormat="1" x14ac:dyDescent="0.25">
      <c r="C181" s="90" t="s">
        <v>300</v>
      </c>
      <c r="D181" s="91" t="s">
        <v>90</v>
      </c>
      <c r="E181" s="90" t="s">
        <v>216</v>
      </c>
      <c r="F181" s="90" t="s">
        <v>215</v>
      </c>
      <c r="G181" s="90">
        <f>SintéticoNC!J83</f>
        <v>28000</v>
      </c>
      <c r="H181" s="90">
        <f>SintéticoNC!K83</f>
        <v>0</v>
      </c>
      <c r="I181" s="90">
        <f>SintéticoNC!M83</f>
        <v>28195.238120000002</v>
      </c>
      <c r="J181" s="135">
        <f>SintéticoNC!N82</f>
        <v>0</v>
      </c>
      <c r="K181" s="97"/>
      <c r="L181" s="90"/>
      <c r="M181" s="90"/>
      <c r="N181" s="90"/>
      <c r="O181" s="90"/>
      <c r="P181" s="90"/>
      <c r="Q181" s="90"/>
      <c r="R181" s="90"/>
      <c r="S181" s="90"/>
      <c r="T181" s="90"/>
      <c r="U181" s="90"/>
      <c r="V181" s="90"/>
      <c r="W181" s="90"/>
      <c r="X181" s="90" t="s">
        <v>1</v>
      </c>
    </row>
    <row r="182" spans="3:38" s="89" customFormat="1" x14ac:dyDescent="0.25">
      <c r="C182" s="90" t="s">
        <v>291</v>
      </c>
      <c r="D182" s="91" t="s">
        <v>35</v>
      </c>
      <c r="E182" s="90" t="s">
        <v>153</v>
      </c>
      <c r="F182" s="90" t="s">
        <v>281</v>
      </c>
      <c r="G182" s="90">
        <f>SintéticoNC!J85</f>
        <v>0</v>
      </c>
      <c r="H182" s="90">
        <f>SintéticoNC!K85</f>
        <v>0</v>
      </c>
      <c r="I182" s="90">
        <f>SintéticoNC!M85</f>
        <v>0</v>
      </c>
      <c r="J182" s="135">
        <f>IF(SintéticoNC!N85="","",SintéticoNC!N85)</f>
        <v>0</v>
      </c>
      <c r="K182" s="90"/>
      <c r="L182" s="90"/>
      <c r="M182" s="90"/>
      <c r="N182" s="90"/>
      <c r="O182" s="90"/>
      <c r="P182" s="90"/>
      <c r="Q182" s="90"/>
      <c r="R182" s="90"/>
      <c r="S182" s="90"/>
      <c r="T182" s="90"/>
      <c r="U182" s="90"/>
      <c r="V182" s="90"/>
      <c r="W182" s="90"/>
      <c r="X182" s="90"/>
      <c r="Y182" s="110"/>
      <c r="Z182" s="111"/>
      <c r="AA182" s="110"/>
      <c r="AB182" s="110"/>
      <c r="AC182" s="110"/>
      <c r="AD182" s="110"/>
      <c r="AE182" s="110"/>
      <c r="AF182" s="110"/>
      <c r="AG182" s="110"/>
      <c r="AH182" s="110"/>
      <c r="AI182" s="110"/>
      <c r="AJ182" s="110"/>
      <c r="AK182" s="110"/>
      <c r="AL182" s="110"/>
    </row>
    <row r="183" spans="3:38" x14ac:dyDescent="0.25">
      <c r="C183" s="90" t="s">
        <v>291</v>
      </c>
      <c r="D183" s="91" t="s">
        <v>277</v>
      </c>
      <c r="E183" s="90" t="s">
        <v>153</v>
      </c>
      <c r="F183" s="56" t="s">
        <v>282</v>
      </c>
      <c r="G183" s="90">
        <f>SintéticoNC!J86</f>
        <v>0</v>
      </c>
      <c r="H183" s="90">
        <f>SintéticoNC!K86</f>
        <v>0</v>
      </c>
      <c r="I183" s="90">
        <f>SintéticoNC!M86</f>
        <v>0</v>
      </c>
      <c r="J183" s="135">
        <f>SintéticoNC!N86</f>
        <v>0</v>
      </c>
      <c r="K183" s="56"/>
      <c r="L183" s="56"/>
      <c r="M183" s="56"/>
      <c r="N183" s="56"/>
      <c r="O183" s="56"/>
      <c r="P183" s="56"/>
      <c r="Q183" s="56"/>
      <c r="R183" s="56"/>
      <c r="S183" s="56"/>
      <c r="T183" s="56"/>
      <c r="U183" s="56"/>
      <c r="V183" s="56"/>
      <c r="W183" s="56"/>
      <c r="X183" s="56"/>
    </row>
    <row r="184" spans="3:38" x14ac:dyDescent="0.25">
      <c r="C184" s="90" t="s">
        <v>291</v>
      </c>
      <c r="D184" s="91" t="s">
        <v>278</v>
      </c>
      <c r="E184" s="90" t="s">
        <v>153</v>
      </c>
      <c r="F184" s="56" t="s">
        <v>283</v>
      </c>
      <c r="G184" s="90">
        <f>SintéticoNC!J87</f>
        <v>0</v>
      </c>
      <c r="H184" s="90">
        <f>SintéticoNC!K87</f>
        <v>0</v>
      </c>
      <c r="I184" s="90">
        <f>SintéticoNC!M87</f>
        <v>0</v>
      </c>
      <c r="J184" s="135">
        <f>SintéticoNC!N87</f>
        <v>0</v>
      </c>
      <c r="K184" s="56"/>
      <c r="L184" s="56"/>
      <c r="M184" s="56"/>
      <c r="N184" s="56"/>
      <c r="O184" s="56"/>
      <c r="P184" s="56"/>
      <c r="Q184" s="56"/>
      <c r="R184" s="56"/>
      <c r="S184" s="56"/>
      <c r="T184" s="56"/>
      <c r="U184" s="56"/>
      <c r="V184" s="56"/>
      <c r="W184" s="56"/>
      <c r="X184" s="56"/>
    </row>
    <row r="185" spans="3:38" x14ac:dyDescent="0.25">
      <c r="C185" s="90" t="s">
        <v>291</v>
      </c>
      <c r="D185" s="91" t="s">
        <v>279</v>
      </c>
      <c r="E185" s="90" t="s">
        <v>153</v>
      </c>
      <c r="F185" s="56" t="s">
        <v>284</v>
      </c>
      <c r="G185" s="90">
        <f>SintéticoNC!J88</f>
        <v>0</v>
      </c>
      <c r="H185" s="90">
        <f>SintéticoNC!K88</f>
        <v>0</v>
      </c>
      <c r="I185" s="90">
        <f>SintéticoNC!M88</f>
        <v>0</v>
      </c>
      <c r="J185" s="135">
        <f>SintéticoNC!N88</f>
        <v>0</v>
      </c>
      <c r="K185" s="56"/>
      <c r="L185" s="58"/>
      <c r="M185" s="56"/>
      <c r="N185" s="56"/>
      <c r="O185" s="56"/>
      <c r="P185" s="56"/>
      <c r="Q185" s="56"/>
      <c r="R185" s="56"/>
      <c r="S185" s="56"/>
      <c r="T185" s="56"/>
      <c r="U185" s="56"/>
      <c r="V185" s="56"/>
      <c r="W185" s="56"/>
      <c r="X185" s="56"/>
    </row>
    <row r="186" spans="3:38" x14ac:dyDescent="0.25">
      <c r="C186" s="90" t="s">
        <v>291</v>
      </c>
      <c r="D186" s="91" t="s">
        <v>126</v>
      </c>
      <c r="E186" s="90" t="s">
        <v>153</v>
      </c>
      <c r="F186" s="56" t="s">
        <v>285</v>
      </c>
      <c r="G186" s="90">
        <f>SintéticoNC!J89</f>
        <v>0</v>
      </c>
      <c r="H186" s="90">
        <f>SintéticoNC!K89</f>
        <v>0</v>
      </c>
      <c r="I186" s="90">
        <f>SintéticoNC!M89</f>
        <v>0</v>
      </c>
      <c r="J186" s="135">
        <f>SintéticoNC!N89</f>
        <v>0</v>
      </c>
      <c r="K186" s="56"/>
      <c r="L186" s="56"/>
      <c r="M186" s="56"/>
      <c r="N186" s="56"/>
      <c r="O186" s="56"/>
      <c r="P186" s="56"/>
      <c r="Q186" s="56"/>
      <c r="R186" s="56"/>
      <c r="S186" s="56"/>
      <c r="T186" s="56"/>
      <c r="U186" s="56"/>
      <c r="V186" s="56"/>
      <c r="W186" s="56"/>
      <c r="X186" s="56"/>
    </row>
    <row r="187" spans="3:38" x14ac:dyDescent="0.25">
      <c r="C187" s="56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  <c r="O187" s="56"/>
      <c r="P187" s="56"/>
      <c r="Q187" s="56"/>
      <c r="R187" s="56"/>
      <c r="S187" s="56"/>
      <c r="T187" s="56"/>
      <c r="U187" s="56"/>
      <c r="V187" s="56"/>
      <c r="W187" s="56"/>
      <c r="X187" s="56"/>
    </row>
    <row r="188" spans="3:38" x14ac:dyDescent="0.25">
      <c r="C188" s="56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  <c r="O188" s="56"/>
      <c r="P188" s="56"/>
      <c r="Q188" s="56"/>
      <c r="R188" s="56"/>
      <c r="S188" s="56"/>
      <c r="T188" s="56"/>
      <c r="U188" s="56"/>
      <c r="V188" s="56"/>
      <c r="W188" s="56"/>
      <c r="X188" s="56"/>
    </row>
    <row r="189" spans="3:38" x14ac:dyDescent="0.25">
      <c r="C189" s="56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  <c r="O189" s="56"/>
      <c r="P189" s="56"/>
      <c r="Q189" s="56"/>
      <c r="R189" s="56"/>
      <c r="S189" s="56"/>
      <c r="T189" s="56"/>
      <c r="U189" s="56"/>
      <c r="V189" s="56"/>
      <c r="W189" s="56"/>
      <c r="X189" s="56"/>
    </row>
    <row r="190" spans="3:38" x14ac:dyDescent="0.25">
      <c r="C190" s="56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  <c r="O190" s="56"/>
      <c r="P190" s="56"/>
      <c r="Q190" s="56"/>
      <c r="R190" s="56"/>
      <c r="S190" s="56"/>
      <c r="T190" s="56"/>
      <c r="U190" s="56"/>
      <c r="V190" s="56"/>
      <c r="W190" s="56"/>
      <c r="X190" s="56"/>
    </row>
    <row r="191" spans="3:38" x14ac:dyDescent="0.25">
      <c r="C191" s="56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  <c r="O191" s="56"/>
      <c r="P191" s="56"/>
      <c r="Q191" s="56"/>
      <c r="R191" s="56"/>
      <c r="S191" s="56"/>
      <c r="T191" s="56"/>
      <c r="U191" s="56"/>
      <c r="V191" s="56"/>
      <c r="W191" s="56"/>
      <c r="X191" s="56"/>
    </row>
    <row r="192" spans="3:38" x14ac:dyDescent="0.25">
      <c r="C192" s="56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  <c r="O192" s="56"/>
      <c r="P192" s="56"/>
      <c r="Q192" s="56"/>
      <c r="R192" s="56"/>
      <c r="S192" s="56"/>
      <c r="T192" s="56"/>
      <c r="U192" s="56"/>
      <c r="V192" s="56"/>
      <c r="W192" s="56"/>
      <c r="X192" s="56"/>
      <c r="Y192" s="53"/>
      <c r="Z192" s="53"/>
      <c r="AA192" s="53"/>
      <c r="AB192" s="53"/>
      <c r="AC192" s="53"/>
      <c r="AD192" s="53"/>
      <c r="AE192" s="53"/>
      <c r="AF192" s="53"/>
      <c r="AG192" s="53"/>
      <c r="AH192" s="53"/>
      <c r="AI192" s="53"/>
      <c r="AJ192" s="53"/>
      <c r="AK192" s="53"/>
      <c r="AL192" s="53"/>
    </row>
    <row r="193" spans="3:38" x14ac:dyDescent="0.25">
      <c r="C193" s="56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  <c r="O193" s="56"/>
      <c r="P193" s="56"/>
      <c r="Q193" s="56"/>
      <c r="R193" s="56"/>
      <c r="S193" s="56"/>
      <c r="T193" s="56"/>
      <c r="U193" s="56"/>
      <c r="V193" s="56"/>
      <c r="W193" s="56"/>
      <c r="X193" s="56"/>
      <c r="Y193" s="53"/>
      <c r="Z193" s="53"/>
      <c r="AA193" s="53"/>
      <c r="AB193" s="53"/>
      <c r="AC193" s="53"/>
      <c r="AD193" s="53"/>
      <c r="AE193" s="53"/>
      <c r="AF193" s="53"/>
      <c r="AG193" s="53"/>
      <c r="AH193" s="53"/>
      <c r="AI193" s="53"/>
      <c r="AJ193" s="53"/>
      <c r="AK193" s="53"/>
      <c r="AL193" s="53"/>
    </row>
    <row r="194" spans="3:38" x14ac:dyDescent="0.25">
      <c r="C194" s="56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  <c r="O194" s="56"/>
      <c r="P194" s="56"/>
      <c r="Q194" s="56"/>
      <c r="R194" s="56"/>
      <c r="S194" s="56"/>
      <c r="T194" s="56"/>
      <c r="U194" s="56"/>
      <c r="V194" s="56"/>
      <c r="W194" s="56"/>
      <c r="X194" s="56"/>
      <c r="Y194" s="53"/>
      <c r="Z194" s="53"/>
      <c r="AA194" s="53"/>
      <c r="AB194" s="53"/>
      <c r="AC194" s="53"/>
      <c r="AD194" s="53"/>
      <c r="AE194" s="53"/>
      <c r="AF194" s="53"/>
      <c r="AG194" s="53"/>
      <c r="AH194" s="53"/>
      <c r="AI194" s="53"/>
      <c r="AJ194" s="53"/>
      <c r="AK194" s="53"/>
      <c r="AL194" s="53"/>
    </row>
    <row r="195" spans="3:38" x14ac:dyDescent="0.25">
      <c r="C195" s="56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  <c r="T195" s="56"/>
      <c r="U195" s="56"/>
      <c r="V195" s="56"/>
      <c r="W195" s="56"/>
      <c r="X195" s="56"/>
      <c r="Y195" s="53"/>
      <c r="Z195" s="53"/>
      <c r="AA195" s="53"/>
      <c r="AB195" s="53"/>
      <c r="AC195" s="53"/>
      <c r="AD195" s="53"/>
      <c r="AE195" s="53"/>
      <c r="AF195" s="53"/>
      <c r="AG195" s="53"/>
      <c r="AH195" s="53"/>
      <c r="AI195" s="53"/>
      <c r="AJ195" s="53"/>
      <c r="AK195" s="53"/>
      <c r="AL195" s="53"/>
    </row>
    <row r="196" spans="3:38" x14ac:dyDescent="0.25">
      <c r="C196" s="56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  <c r="O196" s="56"/>
      <c r="P196" s="56"/>
      <c r="Q196" s="56"/>
      <c r="R196" s="56"/>
      <c r="S196" s="56"/>
      <c r="T196" s="56"/>
      <c r="U196" s="56"/>
      <c r="V196" s="56"/>
      <c r="W196" s="56"/>
      <c r="X196" s="56"/>
      <c r="Y196" s="53"/>
      <c r="Z196" s="53"/>
      <c r="AA196" s="53"/>
      <c r="AB196" s="53"/>
      <c r="AC196" s="53"/>
      <c r="AD196" s="53"/>
      <c r="AE196" s="53"/>
      <c r="AF196" s="53"/>
      <c r="AG196" s="53"/>
      <c r="AH196" s="53"/>
      <c r="AI196" s="53"/>
      <c r="AJ196" s="53"/>
      <c r="AK196" s="53"/>
      <c r="AL196" s="53"/>
    </row>
    <row r="197" spans="3:38" x14ac:dyDescent="0.25">
      <c r="C197" s="56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  <c r="O197" s="56"/>
      <c r="P197" s="56"/>
      <c r="Q197" s="56"/>
      <c r="R197" s="56"/>
      <c r="S197" s="56"/>
      <c r="T197" s="56"/>
      <c r="U197" s="56"/>
      <c r="V197" s="56"/>
      <c r="W197" s="56"/>
      <c r="X197" s="56"/>
      <c r="Y197" s="53"/>
      <c r="Z197" s="53"/>
      <c r="AA197" s="53"/>
      <c r="AB197" s="53"/>
      <c r="AC197" s="53"/>
      <c r="AD197" s="53"/>
      <c r="AE197" s="53"/>
      <c r="AF197" s="53"/>
      <c r="AG197" s="53"/>
      <c r="AH197" s="53"/>
      <c r="AI197" s="53"/>
      <c r="AJ197" s="53"/>
      <c r="AK197" s="53"/>
      <c r="AL197" s="53"/>
    </row>
    <row r="198" spans="3:38" x14ac:dyDescent="0.25">
      <c r="C198" s="56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  <c r="O198" s="56"/>
      <c r="P198" s="56"/>
      <c r="Q198" s="56"/>
      <c r="R198" s="56"/>
      <c r="S198" s="56"/>
      <c r="T198" s="56"/>
      <c r="U198" s="56"/>
      <c r="V198" s="56"/>
      <c r="W198" s="56"/>
      <c r="X198" s="56"/>
      <c r="Y198" s="53"/>
      <c r="Z198" s="53"/>
      <c r="AA198" s="53"/>
      <c r="AB198" s="53"/>
      <c r="AC198" s="53"/>
      <c r="AD198" s="53"/>
      <c r="AE198" s="53"/>
      <c r="AF198" s="53"/>
      <c r="AG198" s="53"/>
      <c r="AH198" s="53"/>
      <c r="AI198" s="53"/>
      <c r="AJ198" s="53"/>
      <c r="AK198" s="53"/>
      <c r="AL198" s="53"/>
    </row>
    <row r="199" spans="3:38" x14ac:dyDescent="0.25">
      <c r="C199" s="56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  <c r="O199" s="56"/>
      <c r="P199" s="56"/>
      <c r="Q199" s="56"/>
      <c r="R199" s="56"/>
      <c r="S199" s="56"/>
      <c r="T199" s="56"/>
      <c r="U199" s="56"/>
      <c r="V199" s="56"/>
      <c r="W199" s="56"/>
      <c r="X199" s="56"/>
      <c r="Y199" s="53"/>
      <c r="Z199" s="53"/>
      <c r="AA199" s="53"/>
      <c r="AB199" s="53"/>
      <c r="AC199" s="53"/>
      <c r="AD199" s="53"/>
      <c r="AE199" s="53"/>
      <c r="AF199" s="53"/>
      <c r="AG199" s="53"/>
      <c r="AH199" s="53"/>
      <c r="AI199" s="53"/>
      <c r="AJ199" s="53"/>
      <c r="AK199" s="53"/>
      <c r="AL199" s="53"/>
    </row>
    <row r="200" spans="3:38" x14ac:dyDescent="0.25">
      <c r="C200" s="56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  <c r="O200" s="56"/>
      <c r="P200" s="56"/>
      <c r="Q200" s="56"/>
      <c r="R200" s="56"/>
      <c r="S200" s="56"/>
      <c r="T200" s="56"/>
      <c r="U200" s="56"/>
      <c r="V200" s="56"/>
      <c r="W200" s="56"/>
      <c r="X200" s="56"/>
      <c r="Y200" s="53"/>
      <c r="Z200" s="53"/>
      <c r="AA200" s="53"/>
      <c r="AB200" s="53"/>
      <c r="AC200" s="53"/>
      <c r="AD200" s="53"/>
      <c r="AE200" s="53"/>
      <c r="AF200" s="53"/>
      <c r="AG200" s="53"/>
      <c r="AH200" s="53"/>
      <c r="AI200" s="53"/>
      <c r="AJ200" s="53"/>
      <c r="AK200" s="53"/>
      <c r="AL200" s="53"/>
    </row>
    <row r="201" spans="3:38" x14ac:dyDescent="0.25">
      <c r="C201" s="56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  <c r="O201" s="56"/>
      <c r="P201" s="56"/>
      <c r="Q201" s="56"/>
      <c r="R201" s="56"/>
      <c r="S201" s="56"/>
      <c r="T201" s="56"/>
      <c r="U201" s="56"/>
      <c r="V201" s="56"/>
      <c r="W201" s="56"/>
      <c r="X201" s="56"/>
      <c r="Y201" s="53"/>
      <c r="Z201" s="53"/>
      <c r="AA201" s="53"/>
      <c r="AB201" s="53"/>
      <c r="AC201" s="53"/>
      <c r="AD201" s="53"/>
      <c r="AE201" s="53"/>
      <c r="AF201" s="53"/>
      <c r="AG201" s="53"/>
      <c r="AH201" s="53"/>
      <c r="AI201" s="53"/>
      <c r="AJ201" s="53"/>
      <c r="AK201" s="53"/>
      <c r="AL201" s="53"/>
    </row>
    <row r="202" spans="3:38" x14ac:dyDescent="0.25">
      <c r="C202" s="56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  <c r="O202" s="56"/>
      <c r="P202" s="56"/>
      <c r="Q202" s="56"/>
      <c r="R202" s="56"/>
      <c r="S202" s="56"/>
      <c r="T202" s="56"/>
      <c r="U202" s="56"/>
      <c r="V202" s="56"/>
      <c r="W202" s="56"/>
      <c r="X202" s="56"/>
      <c r="Y202" s="53"/>
      <c r="Z202" s="53"/>
      <c r="AA202" s="53"/>
      <c r="AB202" s="53"/>
      <c r="AC202" s="53"/>
      <c r="AD202" s="53"/>
      <c r="AE202" s="53"/>
      <c r="AF202" s="53"/>
      <c r="AG202" s="53"/>
      <c r="AH202" s="53"/>
      <c r="AI202" s="53"/>
      <c r="AJ202" s="53"/>
      <c r="AK202" s="53"/>
      <c r="AL202" s="53"/>
    </row>
    <row r="203" spans="3:38" x14ac:dyDescent="0.25">
      <c r="C203" s="56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  <c r="O203" s="56"/>
      <c r="P203" s="56"/>
      <c r="Q203" s="56"/>
      <c r="R203" s="56"/>
      <c r="S203" s="56"/>
      <c r="T203" s="56"/>
      <c r="U203" s="56"/>
      <c r="V203" s="56"/>
      <c r="W203" s="56"/>
      <c r="X203" s="56"/>
      <c r="Y203" s="53"/>
      <c r="Z203" s="53"/>
      <c r="AA203" s="53"/>
      <c r="AB203" s="53"/>
      <c r="AC203" s="53"/>
      <c r="AD203" s="53"/>
      <c r="AE203" s="53"/>
      <c r="AF203" s="53"/>
      <c r="AG203" s="53"/>
      <c r="AH203" s="53"/>
      <c r="AI203" s="53"/>
      <c r="AJ203" s="53"/>
      <c r="AK203" s="53"/>
      <c r="AL203" s="53"/>
    </row>
    <row r="204" spans="3:38" x14ac:dyDescent="0.25">
      <c r="C204" s="56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  <c r="O204" s="56"/>
      <c r="P204" s="56"/>
      <c r="Q204" s="56"/>
      <c r="R204" s="56"/>
      <c r="S204" s="56"/>
      <c r="T204" s="56"/>
      <c r="U204" s="56"/>
      <c r="V204" s="56"/>
      <c r="W204" s="56"/>
      <c r="X204" s="56"/>
      <c r="Y204" s="53"/>
      <c r="Z204" s="53"/>
      <c r="AA204" s="53"/>
      <c r="AB204" s="53"/>
      <c r="AC204" s="53"/>
      <c r="AD204" s="53"/>
      <c r="AE204" s="53"/>
      <c r="AF204" s="53"/>
      <c r="AG204" s="53"/>
      <c r="AH204" s="53"/>
      <c r="AI204" s="53"/>
      <c r="AJ204" s="53"/>
      <c r="AK204" s="53"/>
      <c r="AL204" s="53"/>
    </row>
    <row r="205" spans="3:38" x14ac:dyDescent="0.25">
      <c r="C205" s="56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  <c r="O205" s="56"/>
      <c r="P205" s="56"/>
      <c r="Q205" s="56"/>
      <c r="R205" s="56"/>
      <c r="S205" s="56"/>
      <c r="T205" s="56"/>
      <c r="U205" s="56"/>
      <c r="V205" s="56"/>
      <c r="W205" s="56"/>
      <c r="X205" s="56"/>
      <c r="Y205" s="53"/>
      <c r="Z205" s="53"/>
      <c r="AA205" s="53"/>
      <c r="AB205" s="53"/>
      <c r="AC205" s="53"/>
      <c r="AD205" s="53"/>
      <c r="AE205" s="53"/>
      <c r="AF205" s="53"/>
      <c r="AG205" s="53"/>
      <c r="AH205" s="53"/>
      <c r="AI205" s="53"/>
      <c r="AJ205" s="53"/>
      <c r="AK205" s="53"/>
      <c r="AL205" s="53"/>
    </row>
    <row r="206" spans="3:38" x14ac:dyDescent="0.25">
      <c r="C206" s="56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  <c r="O206" s="56"/>
      <c r="P206" s="56"/>
      <c r="Q206" s="56"/>
      <c r="R206" s="56"/>
      <c r="S206" s="56"/>
      <c r="T206" s="56"/>
      <c r="U206" s="56"/>
      <c r="V206" s="56"/>
      <c r="W206" s="56"/>
      <c r="X206" s="56"/>
      <c r="Y206" s="53"/>
      <c r="Z206" s="53"/>
      <c r="AA206" s="53"/>
      <c r="AB206" s="53"/>
      <c r="AC206" s="53"/>
      <c r="AD206" s="53"/>
      <c r="AE206" s="53"/>
      <c r="AF206" s="53"/>
      <c r="AG206" s="53"/>
      <c r="AH206" s="53"/>
      <c r="AI206" s="53"/>
      <c r="AJ206" s="53"/>
      <c r="AK206" s="53"/>
      <c r="AL206" s="53"/>
    </row>
    <row r="207" spans="3:38" x14ac:dyDescent="0.25">
      <c r="C207" s="56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  <c r="O207" s="56"/>
      <c r="P207" s="56"/>
      <c r="Q207" s="56"/>
      <c r="R207" s="56"/>
      <c r="S207" s="56"/>
      <c r="T207" s="56"/>
      <c r="U207" s="56"/>
      <c r="V207" s="56"/>
      <c r="W207" s="56"/>
      <c r="X207" s="56"/>
      <c r="Y207" s="53"/>
      <c r="Z207" s="53"/>
      <c r="AA207" s="53"/>
      <c r="AB207" s="53"/>
      <c r="AC207" s="53"/>
      <c r="AD207" s="53"/>
      <c r="AE207" s="53"/>
      <c r="AF207" s="53"/>
      <c r="AG207" s="53"/>
      <c r="AH207" s="53"/>
      <c r="AI207" s="53"/>
      <c r="AJ207" s="53"/>
      <c r="AK207" s="53"/>
      <c r="AL207" s="53"/>
    </row>
    <row r="208" spans="3:38" x14ac:dyDescent="0.25">
      <c r="C208" s="56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  <c r="O208" s="56"/>
      <c r="P208" s="56"/>
      <c r="Q208" s="56"/>
      <c r="R208" s="56"/>
      <c r="S208" s="56"/>
      <c r="T208" s="56"/>
      <c r="U208" s="56"/>
      <c r="V208" s="56"/>
      <c r="W208" s="56"/>
      <c r="X208" s="56"/>
      <c r="Y208" s="53"/>
      <c r="Z208" s="53"/>
      <c r="AA208" s="53"/>
      <c r="AB208" s="53"/>
      <c r="AC208" s="53"/>
      <c r="AD208" s="53"/>
      <c r="AE208" s="53"/>
      <c r="AF208" s="53"/>
      <c r="AG208" s="53"/>
      <c r="AH208" s="53"/>
      <c r="AI208" s="53"/>
      <c r="AJ208" s="53"/>
      <c r="AK208" s="53"/>
      <c r="AL208" s="53"/>
    </row>
    <row r="209" spans="3:38" x14ac:dyDescent="0.25">
      <c r="C209" s="56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  <c r="O209" s="56"/>
      <c r="P209" s="56"/>
      <c r="Q209" s="56"/>
      <c r="R209" s="56"/>
      <c r="S209" s="56"/>
      <c r="T209" s="56"/>
      <c r="U209" s="56"/>
      <c r="V209" s="56"/>
      <c r="W209" s="56"/>
      <c r="X209" s="56"/>
      <c r="Y209" s="53"/>
      <c r="Z209" s="53"/>
      <c r="AA209" s="53"/>
      <c r="AB209" s="53"/>
      <c r="AC209" s="53"/>
      <c r="AD209" s="53"/>
      <c r="AE209" s="53"/>
      <c r="AF209" s="53"/>
      <c r="AG209" s="53"/>
      <c r="AH209" s="53"/>
      <c r="AI209" s="53"/>
      <c r="AJ209" s="53"/>
      <c r="AK209" s="53"/>
      <c r="AL209" s="53"/>
    </row>
    <row r="210" spans="3:38" x14ac:dyDescent="0.25">
      <c r="C210" s="56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  <c r="O210" s="56"/>
      <c r="P210" s="56"/>
      <c r="Q210" s="56"/>
      <c r="R210" s="56"/>
      <c r="S210" s="56"/>
      <c r="T210" s="56"/>
      <c r="U210" s="56"/>
      <c r="V210" s="56"/>
      <c r="W210" s="56"/>
      <c r="X210" s="56"/>
      <c r="Y210" s="53"/>
      <c r="Z210" s="53"/>
      <c r="AA210" s="53"/>
      <c r="AB210" s="53"/>
      <c r="AC210" s="53"/>
      <c r="AD210" s="53"/>
      <c r="AE210" s="53"/>
      <c r="AF210" s="53"/>
      <c r="AG210" s="53"/>
      <c r="AH210" s="53"/>
      <c r="AI210" s="53"/>
      <c r="AJ210" s="53"/>
      <c r="AK210" s="53"/>
      <c r="AL210" s="53"/>
    </row>
    <row r="211" spans="3:38" x14ac:dyDescent="0.25">
      <c r="C211" s="56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  <c r="O211" s="56"/>
      <c r="P211" s="56"/>
      <c r="Q211" s="56"/>
      <c r="R211" s="56"/>
      <c r="S211" s="56"/>
      <c r="T211" s="56"/>
      <c r="U211" s="56"/>
      <c r="V211" s="56"/>
      <c r="W211" s="56"/>
      <c r="X211" s="56"/>
      <c r="Y211" s="53"/>
      <c r="Z211" s="53"/>
      <c r="AA211" s="53"/>
      <c r="AB211" s="53"/>
      <c r="AC211" s="53"/>
      <c r="AD211" s="53"/>
      <c r="AE211" s="53"/>
      <c r="AF211" s="53"/>
      <c r="AG211" s="53"/>
      <c r="AH211" s="53"/>
      <c r="AI211" s="53"/>
      <c r="AJ211" s="53"/>
      <c r="AK211" s="53"/>
      <c r="AL211" s="53"/>
    </row>
    <row r="212" spans="3:38" x14ac:dyDescent="0.25">
      <c r="C212" s="56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  <c r="O212" s="56"/>
      <c r="P212" s="56"/>
      <c r="Q212" s="56"/>
      <c r="R212" s="56"/>
      <c r="S212" s="56"/>
      <c r="T212" s="56"/>
      <c r="U212" s="56"/>
      <c r="V212" s="56"/>
      <c r="W212" s="56"/>
      <c r="X212" s="56"/>
      <c r="Y212" s="53"/>
      <c r="Z212" s="53"/>
      <c r="AA212" s="53"/>
      <c r="AB212" s="53"/>
      <c r="AC212" s="53"/>
      <c r="AD212" s="53"/>
      <c r="AE212" s="53"/>
      <c r="AF212" s="53"/>
      <c r="AG212" s="53"/>
      <c r="AH212" s="53"/>
      <c r="AI212" s="53"/>
      <c r="AJ212" s="53"/>
      <c r="AK212" s="53"/>
      <c r="AL212" s="53"/>
    </row>
    <row r="213" spans="3:38" x14ac:dyDescent="0.25">
      <c r="C213" s="56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  <c r="O213" s="56"/>
      <c r="P213" s="56"/>
      <c r="Q213" s="56"/>
      <c r="R213" s="56"/>
      <c r="S213" s="56"/>
      <c r="T213" s="56"/>
      <c r="U213" s="56"/>
      <c r="V213" s="56"/>
      <c r="W213" s="56"/>
      <c r="X213" s="56"/>
      <c r="Y213" s="53"/>
      <c r="Z213" s="53"/>
      <c r="AA213" s="53"/>
      <c r="AB213" s="53"/>
      <c r="AC213" s="53"/>
      <c r="AD213" s="53"/>
      <c r="AE213" s="53"/>
      <c r="AF213" s="53"/>
      <c r="AG213" s="53"/>
      <c r="AH213" s="53"/>
      <c r="AI213" s="53"/>
      <c r="AJ213" s="53"/>
      <c r="AK213" s="53"/>
      <c r="AL213" s="53"/>
    </row>
    <row r="214" spans="3:38" x14ac:dyDescent="0.25">
      <c r="C214" s="56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  <c r="O214" s="56"/>
      <c r="P214" s="56"/>
      <c r="Q214" s="56"/>
      <c r="R214" s="56"/>
      <c r="S214" s="56"/>
      <c r="T214" s="56"/>
      <c r="U214" s="56"/>
      <c r="V214" s="56"/>
      <c r="W214" s="56"/>
      <c r="X214" s="56"/>
      <c r="Y214" s="53"/>
      <c r="Z214" s="53"/>
      <c r="AA214" s="53"/>
      <c r="AB214" s="53"/>
      <c r="AC214" s="53"/>
      <c r="AD214" s="53"/>
      <c r="AE214" s="53"/>
      <c r="AF214" s="53"/>
      <c r="AG214" s="53"/>
      <c r="AH214" s="53"/>
      <c r="AI214" s="53"/>
      <c r="AJ214" s="53"/>
      <c r="AK214" s="53"/>
      <c r="AL214" s="53"/>
    </row>
    <row r="215" spans="3:38" x14ac:dyDescent="0.25">
      <c r="C215" s="56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  <c r="O215" s="56"/>
      <c r="P215" s="56"/>
      <c r="Q215" s="56"/>
      <c r="R215" s="56"/>
      <c r="S215" s="56"/>
      <c r="T215" s="56"/>
      <c r="U215" s="56"/>
      <c r="V215" s="56"/>
      <c r="W215" s="56"/>
      <c r="X215" s="56"/>
      <c r="Y215" s="53"/>
      <c r="Z215" s="53"/>
      <c r="AA215" s="53"/>
      <c r="AB215" s="53"/>
      <c r="AC215" s="53"/>
      <c r="AD215" s="53"/>
      <c r="AE215" s="53"/>
      <c r="AF215" s="53"/>
      <c r="AG215" s="53"/>
      <c r="AH215" s="53"/>
      <c r="AI215" s="53"/>
      <c r="AJ215" s="53"/>
      <c r="AK215" s="53"/>
      <c r="AL215" s="53"/>
    </row>
    <row r="216" spans="3:38" x14ac:dyDescent="0.25">
      <c r="C216" s="56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  <c r="O216" s="56"/>
      <c r="P216" s="56"/>
      <c r="Q216" s="56"/>
      <c r="R216" s="56"/>
      <c r="S216" s="56"/>
      <c r="T216" s="56"/>
      <c r="U216" s="56"/>
      <c r="V216" s="56"/>
      <c r="W216" s="56"/>
      <c r="X216" s="56"/>
      <c r="Y216" s="53"/>
      <c r="Z216" s="53"/>
      <c r="AA216" s="53"/>
      <c r="AB216" s="53"/>
      <c r="AC216" s="53"/>
      <c r="AD216" s="53"/>
      <c r="AE216" s="53"/>
      <c r="AF216" s="53"/>
      <c r="AG216" s="53"/>
      <c r="AH216" s="53"/>
      <c r="AI216" s="53"/>
      <c r="AJ216" s="53"/>
      <c r="AK216" s="53"/>
      <c r="AL216" s="53"/>
    </row>
    <row r="217" spans="3:38" x14ac:dyDescent="0.25">
      <c r="C217" s="56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  <c r="O217" s="56"/>
      <c r="P217" s="56"/>
      <c r="Q217" s="56"/>
      <c r="R217" s="56"/>
      <c r="S217" s="56"/>
      <c r="T217" s="56"/>
      <c r="U217" s="56"/>
      <c r="V217" s="56"/>
      <c r="W217" s="56"/>
      <c r="X217" s="56"/>
      <c r="Y217" s="53"/>
      <c r="Z217" s="53"/>
      <c r="AA217" s="53"/>
      <c r="AB217" s="53"/>
      <c r="AC217" s="53"/>
      <c r="AD217" s="53"/>
      <c r="AE217" s="53"/>
      <c r="AF217" s="53"/>
      <c r="AG217" s="53"/>
      <c r="AH217" s="53"/>
      <c r="AI217" s="53"/>
      <c r="AJ217" s="53"/>
      <c r="AK217" s="53"/>
      <c r="AL217" s="53"/>
    </row>
    <row r="218" spans="3:38" x14ac:dyDescent="0.25">
      <c r="C218" s="56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  <c r="O218" s="56"/>
      <c r="P218" s="56"/>
      <c r="Q218" s="56"/>
      <c r="R218" s="56"/>
      <c r="S218" s="56"/>
      <c r="T218" s="56"/>
      <c r="U218" s="56"/>
      <c r="V218" s="56"/>
      <c r="W218" s="56"/>
      <c r="X218" s="56"/>
      <c r="Y218" s="53"/>
      <c r="Z218" s="53"/>
      <c r="AA218" s="53"/>
      <c r="AB218" s="53"/>
      <c r="AC218" s="53"/>
      <c r="AD218" s="53"/>
      <c r="AE218" s="53"/>
      <c r="AF218" s="53"/>
      <c r="AG218" s="53"/>
      <c r="AH218" s="53"/>
      <c r="AI218" s="53"/>
      <c r="AJ218" s="53"/>
      <c r="AK218" s="53"/>
      <c r="AL218" s="53"/>
    </row>
    <row r="219" spans="3:38" x14ac:dyDescent="0.25">
      <c r="C219" s="56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  <c r="O219" s="56"/>
      <c r="P219" s="56"/>
      <c r="Q219" s="56"/>
      <c r="R219" s="56"/>
      <c r="S219" s="56"/>
      <c r="T219" s="56"/>
      <c r="U219" s="56"/>
      <c r="V219" s="56"/>
      <c r="W219" s="56"/>
      <c r="X219" s="56"/>
      <c r="Y219" s="53"/>
      <c r="Z219" s="53"/>
      <c r="AA219" s="53"/>
      <c r="AB219" s="53"/>
      <c r="AC219" s="53"/>
      <c r="AD219" s="53"/>
      <c r="AE219" s="53"/>
      <c r="AF219" s="53"/>
      <c r="AG219" s="53"/>
      <c r="AH219" s="53"/>
      <c r="AI219" s="53"/>
      <c r="AJ219" s="53"/>
      <c r="AK219" s="53"/>
      <c r="AL219" s="53"/>
    </row>
    <row r="220" spans="3:38" x14ac:dyDescent="0.25">
      <c r="C220" s="56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  <c r="O220" s="56"/>
      <c r="P220" s="56"/>
      <c r="Q220" s="56"/>
      <c r="R220" s="56"/>
      <c r="S220" s="56"/>
      <c r="T220" s="56"/>
      <c r="U220" s="56"/>
      <c r="V220" s="56"/>
      <c r="W220" s="56"/>
      <c r="X220" s="56"/>
      <c r="Y220" s="53"/>
      <c r="Z220" s="53"/>
      <c r="AA220" s="53"/>
      <c r="AB220" s="53"/>
      <c r="AC220" s="53"/>
      <c r="AD220" s="53"/>
      <c r="AE220" s="53"/>
      <c r="AF220" s="53"/>
      <c r="AG220" s="53"/>
      <c r="AH220" s="53"/>
      <c r="AI220" s="53"/>
      <c r="AJ220" s="53"/>
      <c r="AK220" s="53"/>
      <c r="AL220" s="53"/>
    </row>
    <row r="221" spans="3:38" x14ac:dyDescent="0.25">
      <c r="C221" s="56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  <c r="O221" s="56"/>
      <c r="P221" s="56"/>
      <c r="Q221" s="56"/>
      <c r="R221" s="56"/>
      <c r="S221" s="56"/>
      <c r="T221" s="56"/>
      <c r="U221" s="56"/>
      <c r="V221" s="56"/>
      <c r="W221" s="56"/>
      <c r="X221" s="56"/>
      <c r="Y221" s="53"/>
      <c r="Z221" s="53"/>
      <c r="AA221" s="53"/>
      <c r="AB221" s="53"/>
      <c r="AC221" s="53"/>
      <c r="AD221" s="53"/>
      <c r="AE221" s="53"/>
      <c r="AF221" s="53"/>
      <c r="AG221" s="53"/>
      <c r="AH221" s="53"/>
      <c r="AI221" s="53"/>
      <c r="AJ221" s="53"/>
      <c r="AK221" s="53"/>
      <c r="AL221" s="53"/>
    </row>
    <row r="222" spans="3:38" x14ac:dyDescent="0.25">
      <c r="C222" s="56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  <c r="O222" s="56"/>
      <c r="P222" s="56"/>
      <c r="Q222" s="56"/>
      <c r="R222" s="56"/>
      <c r="S222" s="56"/>
      <c r="T222" s="56"/>
      <c r="U222" s="56"/>
      <c r="V222" s="56"/>
      <c r="W222" s="56"/>
      <c r="X222" s="56"/>
      <c r="Y222" s="53"/>
      <c r="Z222" s="53"/>
      <c r="AA222" s="53"/>
      <c r="AB222" s="53"/>
      <c r="AC222" s="53"/>
      <c r="AD222" s="53"/>
      <c r="AE222" s="53"/>
      <c r="AF222" s="53"/>
      <c r="AG222" s="53"/>
      <c r="AH222" s="53"/>
      <c r="AI222" s="53"/>
      <c r="AJ222" s="53"/>
      <c r="AK222" s="53"/>
      <c r="AL222" s="53"/>
    </row>
    <row r="223" spans="3:38" x14ac:dyDescent="0.25">
      <c r="C223" s="56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  <c r="O223" s="56"/>
      <c r="P223" s="56"/>
      <c r="Q223" s="56"/>
      <c r="R223" s="56"/>
      <c r="S223" s="56"/>
      <c r="T223" s="56"/>
      <c r="U223" s="56"/>
      <c r="V223" s="56"/>
      <c r="W223" s="56"/>
      <c r="X223" s="56"/>
      <c r="Y223" s="53"/>
      <c r="Z223" s="53"/>
      <c r="AA223" s="53"/>
      <c r="AB223" s="53"/>
      <c r="AC223" s="53"/>
      <c r="AD223" s="53"/>
      <c r="AE223" s="53"/>
      <c r="AF223" s="53"/>
      <c r="AG223" s="53"/>
      <c r="AH223" s="53"/>
      <c r="AI223" s="53"/>
      <c r="AJ223" s="53"/>
      <c r="AK223" s="53"/>
      <c r="AL223" s="53"/>
    </row>
    <row r="224" spans="3:38" x14ac:dyDescent="0.25">
      <c r="C224" s="56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  <c r="O224" s="56"/>
      <c r="P224" s="56"/>
      <c r="Q224" s="56"/>
      <c r="R224" s="56"/>
      <c r="S224" s="56"/>
      <c r="T224" s="56"/>
      <c r="U224" s="56"/>
      <c r="V224" s="56"/>
      <c r="W224" s="56"/>
      <c r="X224" s="56"/>
      <c r="Y224" s="53"/>
      <c r="Z224" s="53"/>
      <c r="AA224" s="53"/>
      <c r="AB224" s="53"/>
      <c r="AC224" s="53"/>
      <c r="AD224" s="53"/>
      <c r="AE224" s="53"/>
      <c r="AF224" s="53"/>
      <c r="AG224" s="53"/>
      <c r="AH224" s="53"/>
      <c r="AI224" s="53"/>
      <c r="AJ224" s="53"/>
      <c r="AK224" s="53"/>
      <c r="AL224" s="53"/>
    </row>
    <row r="225" spans="3:38" x14ac:dyDescent="0.25">
      <c r="C225" s="56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  <c r="O225" s="56"/>
      <c r="P225" s="56"/>
      <c r="Q225" s="56"/>
      <c r="R225" s="56"/>
      <c r="S225" s="56"/>
      <c r="T225" s="56"/>
      <c r="U225" s="56"/>
      <c r="V225" s="56"/>
      <c r="W225" s="56"/>
      <c r="X225" s="56"/>
      <c r="Y225" s="53"/>
      <c r="Z225" s="53"/>
      <c r="AA225" s="53"/>
      <c r="AB225" s="53"/>
      <c r="AC225" s="53"/>
      <c r="AD225" s="53"/>
      <c r="AE225" s="53"/>
      <c r="AF225" s="53"/>
      <c r="AG225" s="53"/>
      <c r="AH225" s="53"/>
      <c r="AI225" s="53"/>
      <c r="AJ225" s="53"/>
      <c r="AK225" s="53"/>
      <c r="AL225" s="53"/>
    </row>
    <row r="226" spans="3:38" x14ac:dyDescent="0.25">
      <c r="C226" s="56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  <c r="O226" s="56"/>
      <c r="P226" s="56"/>
      <c r="Q226" s="56"/>
      <c r="R226" s="56"/>
      <c r="S226" s="56"/>
      <c r="T226" s="56"/>
      <c r="U226" s="56"/>
      <c r="V226" s="56"/>
      <c r="W226" s="56"/>
      <c r="X226" s="56"/>
      <c r="Y226" s="53"/>
      <c r="Z226" s="53"/>
      <c r="AA226" s="53"/>
      <c r="AB226" s="53"/>
      <c r="AC226" s="53"/>
      <c r="AD226" s="53"/>
      <c r="AE226" s="53"/>
      <c r="AF226" s="53"/>
      <c r="AG226" s="53"/>
      <c r="AH226" s="53"/>
      <c r="AI226" s="53"/>
      <c r="AJ226" s="53"/>
      <c r="AK226" s="53"/>
      <c r="AL226" s="53"/>
    </row>
    <row r="227" spans="3:38" x14ac:dyDescent="0.25">
      <c r="C227" s="56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  <c r="O227" s="56"/>
      <c r="P227" s="56"/>
      <c r="Q227" s="56"/>
      <c r="R227" s="56"/>
      <c r="S227" s="56"/>
      <c r="T227" s="56"/>
      <c r="U227" s="56"/>
      <c r="V227" s="56"/>
      <c r="W227" s="56"/>
      <c r="X227" s="56"/>
      <c r="Y227" s="53"/>
      <c r="Z227" s="53"/>
      <c r="AA227" s="53"/>
      <c r="AB227" s="53"/>
      <c r="AC227" s="53"/>
      <c r="AD227" s="53"/>
      <c r="AE227" s="53"/>
      <c r="AF227" s="53"/>
      <c r="AG227" s="53"/>
      <c r="AH227" s="53"/>
      <c r="AI227" s="53"/>
      <c r="AJ227" s="53"/>
      <c r="AK227" s="53"/>
      <c r="AL227" s="53"/>
    </row>
    <row r="228" spans="3:38" x14ac:dyDescent="0.25">
      <c r="C228" s="56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  <c r="O228" s="56"/>
      <c r="P228" s="56"/>
      <c r="Q228" s="56"/>
      <c r="R228" s="56"/>
      <c r="S228" s="56"/>
      <c r="T228" s="56"/>
      <c r="U228" s="56"/>
      <c r="V228" s="56"/>
      <c r="W228" s="56"/>
      <c r="X228" s="56"/>
      <c r="Y228" s="53"/>
      <c r="Z228" s="53"/>
      <c r="AA228" s="53"/>
      <c r="AB228" s="53"/>
      <c r="AC228" s="53"/>
      <c r="AD228" s="53"/>
      <c r="AE228" s="53"/>
      <c r="AF228" s="53"/>
      <c r="AG228" s="53"/>
      <c r="AH228" s="53"/>
      <c r="AI228" s="53"/>
      <c r="AJ228" s="53"/>
      <c r="AK228" s="53"/>
      <c r="AL228" s="53"/>
    </row>
    <row r="229" spans="3:38" x14ac:dyDescent="0.25">
      <c r="C229" s="56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  <c r="O229" s="56"/>
      <c r="P229" s="56"/>
      <c r="Q229" s="56"/>
      <c r="R229" s="56"/>
      <c r="S229" s="56"/>
      <c r="T229" s="56"/>
      <c r="U229" s="56"/>
      <c r="V229" s="56"/>
      <c r="W229" s="56"/>
      <c r="X229" s="56"/>
      <c r="Y229" s="53"/>
      <c r="Z229" s="53"/>
      <c r="AA229" s="53"/>
      <c r="AB229" s="53"/>
      <c r="AC229" s="53"/>
      <c r="AD229" s="53"/>
      <c r="AE229" s="53"/>
      <c r="AF229" s="53"/>
      <c r="AG229" s="53"/>
      <c r="AH229" s="53"/>
      <c r="AI229" s="53"/>
      <c r="AJ229" s="53"/>
      <c r="AK229" s="53"/>
      <c r="AL229" s="53"/>
    </row>
    <row r="230" spans="3:38" x14ac:dyDescent="0.25">
      <c r="C230" s="56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  <c r="O230" s="56"/>
      <c r="P230" s="56"/>
      <c r="Q230" s="56"/>
      <c r="R230" s="56"/>
      <c r="S230" s="56"/>
      <c r="T230" s="56"/>
      <c r="U230" s="56"/>
      <c r="V230" s="56"/>
      <c r="W230" s="56"/>
      <c r="X230" s="56"/>
      <c r="Y230" s="53"/>
      <c r="Z230" s="53"/>
      <c r="AA230" s="53"/>
      <c r="AB230" s="53"/>
      <c r="AC230" s="53"/>
      <c r="AD230" s="53"/>
      <c r="AE230" s="53"/>
      <c r="AF230" s="53"/>
      <c r="AG230" s="53"/>
      <c r="AH230" s="53"/>
      <c r="AI230" s="53"/>
      <c r="AJ230" s="53"/>
      <c r="AK230" s="53"/>
      <c r="AL230" s="53"/>
    </row>
    <row r="231" spans="3:38" x14ac:dyDescent="0.25">
      <c r="C231" s="56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  <c r="O231" s="56"/>
      <c r="P231" s="56"/>
      <c r="Q231" s="56"/>
      <c r="R231" s="56"/>
      <c r="S231" s="56"/>
      <c r="T231" s="56"/>
      <c r="U231" s="56"/>
      <c r="V231" s="56"/>
      <c r="W231" s="56"/>
      <c r="X231" s="56"/>
      <c r="Y231" s="53"/>
      <c r="Z231" s="53"/>
      <c r="AA231" s="53"/>
      <c r="AB231" s="53"/>
      <c r="AC231" s="53"/>
      <c r="AD231" s="53"/>
      <c r="AE231" s="53"/>
      <c r="AF231" s="53"/>
      <c r="AG231" s="53"/>
      <c r="AH231" s="53"/>
      <c r="AI231" s="53"/>
      <c r="AJ231" s="53"/>
      <c r="AK231" s="53"/>
      <c r="AL231" s="53"/>
    </row>
    <row r="232" spans="3:38" x14ac:dyDescent="0.25">
      <c r="C232" s="56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56"/>
      <c r="U232" s="56"/>
      <c r="V232" s="56"/>
      <c r="W232" s="56"/>
      <c r="X232" s="56"/>
      <c r="Y232" s="53"/>
      <c r="Z232" s="53"/>
      <c r="AA232" s="53"/>
      <c r="AB232" s="53"/>
      <c r="AC232" s="53"/>
      <c r="AD232" s="53"/>
      <c r="AE232" s="53"/>
      <c r="AF232" s="53"/>
      <c r="AG232" s="53"/>
      <c r="AH232" s="53"/>
      <c r="AI232" s="53"/>
      <c r="AJ232" s="53"/>
      <c r="AK232" s="53"/>
      <c r="AL232" s="53"/>
    </row>
    <row r="233" spans="3:38" x14ac:dyDescent="0.25">
      <c r="C233" s="56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  <c r="O233" s="56"/>
      <c r="P233" s="56"/>
      <c r="Q233" s="56"/>
      <c r="R233" s="56"/>
      <c r="S233" s="56"/>
      <c r="T233" s="56"/>
      <c r="U233" s="56"/>
      <c r="V233" s="56"/>
      <c r="W233" s="56"/>
      <c r="X233" s="56"/>
      <c r="Y233" s="53"/>
      <c r="Z233" s="53"/>
      <c r="AA233" s="53"/>
      <c r="AB233" s="53"/>
      <c r="AC233" s="53"/>
      <c r="AD233" s="53"/>
      <c r="AE233" s="53"/>
      <c r="AF233" s="53"/>
      <c r="AG233" s="53"/>
      <c r="AH233" s="53"/>
      <c r="AI233" s="53"/>
      <c r="AJ233" s="53"/>
      <c r="AK233" s="53"/>
      <c r="AL233" s="53"/>
    </row>
    <row r="234" spans="3:38" x14ac:dyDescent="0.25">
      <c r="C234" s="56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  <c r="O234" s="56"/>
      <c r="P234" s="56"/>
      <c r="Q234" s="56"/>
      <c r="R234" s="56"/>
      <c r="S234" s="56"/>
      <c r="T234" s="56"/>
      <c r="U234" s="56"/>
      <c r="V234" s="56"/>
      <c r="W234" s="56"/>
      <c r="X234" s="56"/>
      <c r="Y234" s="53"/>
      <c r="Z234" s="53"/>
      <c r="AA234" s="53"/>
      <c r="AB234" s="53"/>
      <c r="AC234" s="53"/>
      <c r="AD234" s="53"/>
      <c r="AE234" s="53"/>
      <c r="AF234" s="53"/>
      <c r="AG234" s="53"/>
      <c r="AH234" s="53"/>
      <c r="AI234" s="53"/>
      <c r="AJ234" s="53"/>
      <c r="AK234" s="53"/>
      <c r="AL234" s="53"/>
    </row>
    <row r="235" spans="3:38" x14ac:dyDescent="0.25">
      <c r="C235" s="56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  <c r="O235" s="56"/>
      <c r="P235" s="56"/>
      <c r="Q235" s="56"/>
      <c r="R235" s="56"/>
      <c r="S235" s="56"/>
      <c r="T235" s="56"/>
      <c r="U235" s="56"/>
      <c r="V235" s="56"/>
      <c r="W235" s="56"/>
      <c r="X235" s="56"/>
      <c r="Y235" s="53"/>
      <c r="Z235" s="53"/>
      <c r="AA235" s="53"/>
      <c r="AB235" s="53"/>
      <c r="AC235" s="53"/>
      <c r="AD235" s="53"/>
      <c r="AE235" s="53"/>
      <c r="AF235" s="53"/>
      <c r="AG235" s="53"/>
      <c r="AH235" s="53"/>
      <c r="AI235" s="53"/>
      <c r="AJ235" s="53"/>
      <c r="AK235" s="53"/>
      <c r="AL235" s="53"/>
    </row>
    <row r="236" spans="3:38" x14ac:dyDescent="0.25">
      <c r="C236" s="56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  <c r="O236" s="56"/>
      <c r="P236" s="56"/>
      <c r="Q236" s="56"/>
      <c r="R236" s="56"/>
      <c r="S236" s="56"/>
      <c r="T236" s="56"/>
      <c r="U236" s="56"/>
      <c r="V236" s="56"/>
      <c r="W236" s="56"/>
      <c r="X236" s="56"/>
      <c r="Y236" s="53"/>
      <c r="Z236" s="53"/>
      <c r="AA236" s="53"/>
      <c r="AB236" s="53"/>
      <c r="AC236" s="53"/>
      <c r="AD236" s="53"/>
      <c r="AE236" s="53"/>
      <c r="AF236" s="53"/>
      <c r="AG236" s="53"/>
      <c r="AH236" s="53"/>
      <c r="AI236" s="53"/>
      <c r="AJ236" s="53"/>
      <c r="AK236" s="53"/>
      <c r="AL236" s="53"/>
    </row>
    <row r="237" spans="3:38" x14ac:dyDescent="0.25">
      <c r="C237" s="56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  <c r="O237" s="56"/>
      <c r="P237" s="56"/>
      <c r="Q237" s="56"/>
      <c r="R237" s="56"/>
      <c r="S237" s="56"/>
      <c r="T237" s="56"/>
      <c r="U237" s="56"/>
      <c r="V237" s="56"/>
      <c r="W237" s="56"/>
      <c r="X237" s="56"/>
      <c r="Y237" s="53"/>
      <c r="Z237" s="53"/>
      <c r="AA237" s="53"/>
      <c r="AB237" s="53"/>
      <c r="AC237" s="53"/>
      <c r="AD237" s="53"/>
      <c r="AE237" s="53"/>
      <c r="AF237" s="53"/>
      <c r="AG237" s="53"/>
      <c r="AH237" s="53"/>
      <c r="AI237" s="53"/>
      <c r="AJ237" s="53"/>
      <c r="AK237" s="53"/>
      <c r="AL237" s="53"/>
    </row>
    <row r="238" spans="3:38" x14ac:dyDescent="0.25">
      <c r="C238" s="56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  <c r="O238" s="56"/>
      <c r="P238" s="56"/>
      <c r="Q238" s="56"/>
      <c r="R238" s="56"/>
      <c r="S238" s="56"/>
      <c r="T238" s="56"/>
      <c r="U238" s="56"/>
      <c r="V238" s="56"/>
      <c r="W238" s="56"/>
      <c r="X238" s="56"/>
      <c r="Y238" s="53"/>
      <c r="Z238" s="53"/>
      <c r="AA238" s="53"/>
      <c r="AB238" s="53"/>
      <c r="AC238" s="53"/>
      <c r="AD238" s="53"/>
      <c r="AE238" s="53"/>
      <c r="AF238" s="53"/>
      <c r="AG238" s="53"/>
      <c r="AH238" s="53"/>
      <c r="AI238" s="53"/>
      <c r="AJ238" s="53"/>
      <c r="AK238" s="53"/>
      <c r="AL238" s="53"/>
    </row>
    <row r="239" spans="3:38" x14ac:dyDescent="0.25">
      <c r="C239" s="56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  <c r="O239" s="56"/>
      <c r="P239" s="56"/>
      <c r="Q239" s="56"/>
      <c r="R239" s="56"/>
      <c r="S239" s="56"/>
      <c r="T239" s="56"/>
      <c r="U239" s="56"/>
      <c r="V239" s="56"/>
      <c r="W239" s="56"/>
      <c r="X239" s="56"/>
      <c r="Y239" s="53"/>
      <c r="Z239" s="53"/>
      <c r="AA239" s="53"/>
      <c r="AB239" s="53"/>
      <c r="AC239" s="53"/>
      <c r="AD239" s="53"/>
      <c r="AE239" s="53"/>
      <c r="AF239" s="53"/>
      <c r="AG239" s="53"/>
      <c r="AH239" s="53"/>
      <c r="AI239" s="53"/>
      <c r="AJ239" s="53"/>
      <c r="AK239" s="53"/>
      <c r="AL239" s="53"/>
    </row>
    <row r="240" spans="3:38" x14ac:dyDescent="0.25">
      <c r="C240" s="56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  <c r="O240" s="56"/>
      <c r="P240" s="56"/>
      <c r="Q240" s="56"/>
      <c r="R240" s="56"/>
      <c r="S240" s="56"/>
      <c r="T240" s="56"/>
      <c r="U240" s="56"/>
      <c r="V240" s="56"/>
      <c r="W240" s="56"/>
      <c r="X240" s="56"/>
      <c r="Y240" s="53"/>
      <c r="Z240" s="53"/>
      <c r="AA240" s="53"/>
      <c r="AB240" s="53"/>
      <c r="AC240" s="53"/>
      <c r="AD240" s="53"/>
      <c r="AE240" s="53"/>
      <c r="AF240" s="53"/>
      <c r="AG240" s="53"/>
      <c r="AH240" s="53"/>
      <c r="AI240" s="53"/>
      <c r="AJ240" s="53"/>
      <c r="AK240" s="53"/>
      <c r="AL240" s="53"/>
    </row>
    <row r="241" spans="3:38" x14ac:dyDescent="0.25">
      <c r="C241" s="56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  <c r="O241" s="56"/>
      <c r="P241" s="56"/>
      <c r="Q241" s="56"/>
      <c r="R241" s="56"/>
      <c r="S241" s="56"/>
      <c r="T241" s="56"/>
      <c r="U241" s="56"/>
      <c r="V241" s="56"/>
      <c r="W241" s="56"/>
      <c r="X241" s="56"/>
      <c r="Y241" s="53"/>
      <c r="Z241" s="53"/>
      <c r="AA241" s="53"/>
      <c r="AB241" s="53"/>
      <c r="AC241" s="53"/>
      <c r="AD241" s="53"/>
      <c r="AE241" s="53"/>
      <c r="AF241" s="53"/>
      <c r="AG241" s="53"/>
      <c r="AH241" s="53"/>
      <c r="AI241" s="53"/>
      <c r="AJ241" s="53"/>
      <c r="AK241" s="53"/>
      <c r="AL241" s="53"/>
    </row>
    <row r="242" spans="3:38" x14ac:dyDescent="0.25">
      <c r="C242" s="56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  <c r="O242" s="56"/>
      <c r="P242" s="56"/>
      <c r="Q242" s="56"/>
      <c r="R242" s="56"/>
      <c r="S242" s="56"/>
      <c r="T242" s="56"/>
      <c r="U242" s="56"/>
      <c r="V242" s="56"/>
      <c r="W242" s="56"/>
      <c r="X242" s="56"/>
      <c r="Y242" s="53"/>
      <c r="Z242" s="53"/>
      <c r="AA242" s="53"/>
      <c r="AB242" s="53"/>
      <c r="AC242" s="53"/>
      <c r="AD242" s="53"/>
      <c r="AE242" s="53"/>
      <c r="AF242" s="53"/>
      <c r="AG242" s="53"/>
      <c r="AH242" s="53"/>
      <c r="AI242" s="53"/>
      <c r="AJ242" s="53"/>
      <c r="AK242" s="53"/>
      <c r="AL242" s="53"/>
    </row>
    <row r="243" spans="3:38" x14ac:dyDescent="0.25">
      <c r="C243" s="56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  <c r="O243" s="56"/>
      <c r="P243" s="56"/>
      <c r="Q243" s="56"/>
      <c r="R243" s="56"/>
      <c r="S243" s="56"/>
      <c r="T243" s="56"/>
      <c r="U243" s="56"/>
      <c r="V243" s="56"/>
      <c r="W243" s="56"/>
      <c r="X243" s="56"/>
      <c r="Y243" s="53"/>
      <c r="Z243" s="53"/>
      <c r="AA243" s="53"/>
      <c r="AB243" s="53"/>
      <c r="AC243" s="53"/>
      <c r="AD243" s="53"/>
      <c r="AE243" s="53"/>
      <c r="AF243" s="53"/>
      <c r="AG243" s="53"/>
      <c r="AH243" s="53"/>
      <c r="AI243" s="53"/>
      <c r="AJ243" s="53"/>
      <c r="AK243" s="53"/>
      <c r="AL243" s="53"/>
    </row>
    <row r="244" spans="3:38" x14ac:dyDescent="0.25">
      <c r="C244" s="56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  <c r="O244" s="56"/>
      <c r="P244" s="56"/>
      <c r="Q244" s="56"/>
      <c r="R244" s="56"/>
      <c r="S244" s="56"/>
      <c r="T244" s="56"/>
      <c r="U244" s="56"/>
      <c r="V244" s="56"/>
      <c r="W244" s="56"/>
      <c r="X244" s="56"/>
      <c r="Y244" s="53"/>
      <c r="Z244" s="53"/>
      <c r="AA244" s="53"/>
      <c r="AB244" s="53"/>
      <c r="AC244" s="53"/>
      <c r="AD244" s="53"/>
      <c r="AE244" s="53"/>
      <c r="AF244" s="53"/>
      <c r="AG244" s="53"/>
      <c r="AH244" s="53"/>
      <c r="AI244" s="53"/>
      <c r="AJ244" s="53"/>
      <c r="AK244" s="53"/>
      <c r="AL244" s="53"/>
    </row>
    <row r="245" spans="3:38" x14ac:dyDescent="0.25">
      <c r="C245" s="56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  <c r="O245" s="56"/>
      <c r="P245" s="56"/>
      <c r="Q245" s="56"/>
      <c r="R245" s="56"/>
      <c r="S245" s="56"/>
      <c r="T245" s="56"/>
      <c r="U245" s="56"/>
      <c r="V245" s="56"/>
      <c r="W245" s="56"/>
      <c r="X245" s="56"/>
      <c r="Y245" s="53"/>
      <c r="Z245" s="53"/>
      <c r="AA245" s="53"/>
      <c r="AB245" s="53"/>
      <c r="AC245" s="53"/>
      <c r="AD245" s="53"/>
      <c r="AE245" s="53"/>
      <c r="AF245" s="53"/>
      <c r="AG245" s="53"/>
      <c r="AH245" s="53"/>
      <c r="AI245" s="53"/>
      <c r="AJ245" s="53"/>
      <c r="AK245" s="53"/>
      <c r="AL245" s="53"/>
    </row>
    <row r="246" spans="3:38" x14ac:dyDescent="0.25">
      <c r="C246" s="56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  <c r="O246" s="56"/>
      <c r="P246" s="56"/>
      <c r="Q246" s="56"/>
      <c r="R246" s="56"/>
      <c r="S246" s="56"/>
      <c r="T246" s="56"/>
      <c r="U246" s="56"/>
      <c r="V246" s="56"/>
      <c r="W246" s="56"/>
      <c r="X246" s="56"/>
      <c r="Y246" s="53"/>
      <c r="Z246" s="53"/>
      <c r="AA246" s="53"/>
      <c r="AB246" s="53"/>
      <c r="AC246" s="53"/>
      <c r="AD246" s="53"/>
      <c r="AE246" s="53"/>
      <c r="AF246" s="53"/>
      <c r="AG246" s="53"/>
      <c r="AH246" s="53"/>
      <c r="AI246" s="53"/>
      <c r="AJ246" s="53"/>
      <c r="AK246" s="53"/>
      <c r="AL246" s="53"/>
    </row>
    <row r="247" spans="3:38" x14ac:dyDescent="0.25">
      <c r="C247" s="56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  <c r="O247" s="56"/>
      <c r="P247" s="56"/>
      <c r="Q247" s="56"/>
      <c r="R247" s="56"/>
      <c r="S247" s="56"/>
      <c r="T247" s="56"/>
      <c r="U247" s="56"/>
      <c r="V247" s="56"/>
      <c r="W247" s="56"/>
      <c r="X247" s="56"/>
      <c r="Y247" s="53"/>
      <c r="Z247" s="53"/>
      <c r="AA247" s="53"/>
      <c r="AB247" s="53"/>
      <c r="AC247" s="53"/>
      <c r="AD247" s="53"/>
      <c r="AE247" s="53"/>
      <c r="AF247" s="53"/>
      <c r="AG247" s="53"/>
      <c r="AH247" s="53"/>
      <c r="AI247" s="53"/>
      <c r="AJ247" s="53"/>
      <c r="AK247" s="53"/>
      <c r="AL247" s="53"/>
    </row>
    <row r="248" spans="3:38" x14ac:dyDescent="0.25">
      <c r="C248" s="56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  <c r="O248" s="56"/>
      <c r="P248" s="56"/>
      <c r="Q248" s="56"/>
      <c r="R248" s="56"/>
      <c r="S248" s="56"/>
      <c r="T248" s="56"/>
      <c r="U248" s="56"/>
      <c r="V248" s="56"/>
      <c r="W248" s="56"/>
      <c r="X248" s="56"/>
      <c r="Y248" s="53"/>
      <c r="Z248" s="53"/>
      <c r="AA248" s="53"/>
      <c r="AB248" s="53"/>
      <c r="AC248" s="53"/>
      <c r="AD248" s="53"/>
      <c r="AE248" s="53"/>
      <c r="AF248" s="53"/>
      <c r="AG248" s="53"/>
      <c r="AH248" s="53"/>
      <c r="AI248" s="53"/>
      <c r="AJ248" s="53"/>
      <c r="AK248" s="53"/>
      <c r="AL248" s="53"/>
    </row>
    <row r="249" spans="3:38" x14ac:dyDescent="0.25">
      <c r="C249" s="56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  <c r="O249" s="56"/>
      <c r="P249" s="56"/>
      <c r="Q249" s="56"/>
      <c r="R249" s="56"/>
      <c r="S249" s="56"/>
      <c r="T249" s="56"/>
      <c r="U249" s="56"/>
      <c r="V249" s="56"/>
      <c r="W249" s="56"/>
      <c r="X249" s="56"/>
      <c r="Y249" s="53"/>
      <c r="Z249" s="53"/>
      <c r="AA249" s="53"/>
      <c r="AB249" s="53"/>
      <c r="AC249" s="53"/>
      <c r="AD249" s="53"/>
      <c r="AE249" s="53"/>
      <c r="AF249" s="53"/>
      <c r="AG249" s="53"/>
      <c r="AH249" s="53"/>
      <c r="AI249" s="53"/>
      <c r="AJ249" s="53"/>
      <c r="AK249" s="53"/>
      <c r="AL249" s="53"/>
    </row>
    <row r="250" spans="3:38" x14ac:dyDescent="0.25">
      <c r="C250" s="56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  <c r="O250" s="56"/>
      <c r="P250" s="56"/>
      <c r="Q250" s="56"/>
      <c r="R250" s="56"/>
      <c r="S250" s="56"/>
      <c r="T250" s="56"/>
      <c r="U250" s="56"/>
      <c r="V250" s="56"/>
      <c r="W250" s="56"/>
      <c r="X250" s="56"/>
      <c r="Y250" s="53"/>
      <c r="Z250" s="53"/>
      <c r="AA250" s="53"/>
      <c r="AB250" s="53"/>
      <c r="AC250" s="53"/>
      <c r="AD250" s="53"/>
      <c r="AE250" s="53"/>
      <c r="AF250" s="53"/>
      <c r="AG250" s="53"/>
      <c r="AH250" s="53"/>
      <c r="AI250" s="53"/>
      <c r="AJ250" s="53"/>
      <c r="AK250" s="53"/>
      <c r="AL250" s="53"/>
    </row>
    <row r="251" spans="3:38" x14ac:dyDescent="0.25">
      <c r="C251" s="56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  <c r="O251" s="56"/>
      <c r="P251" s="56"/>
      <c r="Q251" s="56"/>
      <c r="R251" s="56"/>
      <c r="S251" s="56"/>
      <c r="T251" s="56"/>
      <c r="U251" s="56"/>
      <c r="V251" s="56"/>
      <c r="W251" s="56"/>
      <c r="X251" s="56"/>
      <c r="Y251" s="53"/>
      <c r="Z251" s="53"/>
      <c r="AA251" s="53"/>
      <c r="AB251" s="53"/>
      <c r="AC251" s="53"/>
      <c r="AD251" s="53"/>
      <c r="AE251" s="53"/>
      <c r="AF251" s="53"/>
      <c r="AG251" s="53"/>
      <c r="AH251" s="53"/>
      <c r="AI251" s="53"/>
      <c r="AJ251" s="53"/>
      <c r="AK251" s="53"/>
      <c r="AL251" s="53"/>
    </row>
    <row r="252" spans="3:38" x14ac:dyDescent="0.25">
      <c r="C252" s="56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  <c r="O252" s="56"/>
      <c r="P252" s="56"/>
      <c r="Q252" s="56"/>
      <c r="R252" s="56"/>
      <c r="S252" s="56"/>
      <c r="T252" s="56"/>
      <c r="U252" s="56"/>
      <c r="V252" s="56"/>
      <c r="W252" s="56"/>
      <c r="X252" s="56"/>
      <c r="Y252" s="53"/>
      <c r="Z252" s="53"/>
      <c r="AA252" s="53"/>
      <c r="AB252" s="53"/>
      <c r="AC252" s="53"/>
      <c r="AD252" s="53"/>
      <c r="AE252" s="53"/>
      <c r="AF252" s="53"/>
      <c r="AG252" s="53"/>
      <c r="AH252" s="53"/>
      <c r="AI252" s="53"/>
      <c r="AJ252" s="53"/>
      <c r="AK252" s="53"/>
      <c r="AL252" s="53"/>
    </row>
    <row r="253" spans="3:38" x14ac:dyDescent="0.25">
      <c r="C253" s="56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  <c r="O253" s="56"/>
      <c r="P253" s="56"/>
      <c r="Q253" s="56"/>
      <c r="R253" s="56"/>
      <c r="S253" s="56"/>
      <c r="T253" s="56"/>
      <c r="U253" s="56"/>
      <c r="V253" s="56"/>
      <c r="W253" s="56"/>
      <c r="X253" s="56"/>
      <c r="Y253" s="53"/>
      <c r="Z253" s="53"/>
      <c r="AA253" s="53"/>
      <c r="AB253" s="53"/>
      <c r="AC253" s="53"/>
      <c r="AD253" s="53"/>
      <c r="AE253" s="53"/>
      <c r="AF253" s="53"/>
      <c r="AG253" s="53"/>
      <c r="AH253" s="53"/>
      <c r="AI253" s="53"/>
      <c r="AJ253" s="53"/>
      <c r="AK253" s="53"/>
      <c r="AL253" s="53"/>
    </row>
    <row r="254" spans="3:38" x14ac:dyDescent="0.25">
      <c r="C254" s="56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  <c r="O254" s="56"/>
      <c r="P254" s="56"/>
      <c r="Q254" s="56"/>
      <c r="R254" s="56"/>
      <c r="S254" s="56"/>
      <c r="T254" s="56"/>
      <c r="U254" s="56"/>
      <c r="V254" s="56"/>
      <c r="W254" s="56"/>
      <c r="X254" s="56"/>
      <c r="Y254" s="53"/>
      <c r="Z254" s="53"/>
      <c r="AA254" s="53"/>
      <c r="AB254" s="53"/>
      <c r="AC254" s="53"/>
      <c r="AD254" s="53"/>
      <c r="AE254" s="53"/>
      <c r="AF254" s="53"/>
      <c r="AG254" s="53"/>
      <c r="AH254" s="53"/>
      <c r="AI254" s="53"/>
      <c r="AJ254" s="53"/>
      <c r="AK254" s="53"/>
      <c r="AL254" s="53"/>
    </row>
    <row r="255" spans="3:38" x14ac:dyDescent="0.25">
      <c r="C255" s="56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  <c r="O255" s="56"/>
      <c r="P255" s="56"/>
      <c r="Q255" s="56"/>
      <c r="R255" s="56"/>
      <c r="S255" s="56"/>
      <c r="T255" s="56"/>
      <c r="U255" s="56"/>
      <c r="V255" s="56"/>
      <c r="W255" s="56"/>
      <c r="X255" s="56"/>
      <c r="Y255" s="53"/>
      <c r="Z255" s="53"/>
      <c r="AA255" s="53"/>
      <c r="AB255" s="53"/>
      <c r="AC255" s="53"/>
      <c r="AD255" s="53"/>
      <c r="AE255" s="53"/>
      <c r="AF255" s="53"/>
      <c r="AG255" s="53"/>
      <c r="AH255" s="53"/>
      <c r="AI255" s="53"/>
      <c r="AJ255" s="53"/>
      <c r="AK255" s="53"/>
      <c r="AL255" s="53"/>
    </row>
    <row r="256" spans="3:38" x14ac:dyDescent="0.25">
      <c r="C256" s="56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  <c r="O256" s="56"/>
      <c r="P256" s="56"/>
      <c r="Q256" s="56"/>
      <c r="R256" s="56"/>
      <c r="S256" s="56"/>
      <c r="T256" s="56"/>
      <c r="U256" s="56"/>
      <c r="V256" s="56"/>
      <c r="W256" s="56"/>
      <c r="X256" s="56"/>
      <c r="Y256" s="53"/>
      <c r="Z256" s="53"/>
      <c r="AA256" s="53"/>
      <c r="AB256" s="53"/>
      <c r="AC256" s="53"/>
      <c r="AD256" s="53"/>
      <c r="AE256" s="53"/>
      <c r="AF256" s="53"/>
      <c r="AG256" s="53"/>
      <c r="AH256" s="53"/>
      <c r="AI256" s="53"/>
      <c r="AJ256" s="53"/>
      <c r="AK256" s="53"/>
      <c r="AL256" s="53"/>
    </row>
    <row r="257" spans="3:38" x14ac:dyDescent="0.25">
      <c r="C257" s="56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  <c r="O257" s="56"/>
      <c r="P257" s="56"/>
      <c r="Q257" s="56"/>
      <c r="R257" s="56"/>
      <c r="S257" s="56"/>
      <c r="T257" s="56"/>
      <c r="U257" s="56"/>
      <c r="V257" s="56"/>
      <c r="W257" s="56"/>
      <c r="X257" s="56"/>
      <c r="Y257" s="53"/>
      <c r="Z257" s="53"/>
      <c r="AA257" s="53"/>
      <c r="AB257" s="53"/>
      <c r="AC257" s="53"/>
      <c r="AD257" s="53"/>
      <c r="AE257" s="53"/>
      <c r="AF257" s="53"/>
      <c r="AG257" s="53"/>
      <c r="AH257" s="53"/>
      <c r="AI257" s="53"/>
      <c r="AJ257" s="53"/>
      <c r="AK257" s="53"/>
      <c r="AL257" s="53"/>
    </row>
    <row r="258" spans="3:38" x14ac:dyDescent="0.25">
      <c r="C258" s="56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  <c r="O258" s="56"/>
      <c r="P258" s="56"/>
      <c r="Q258" s="56"/>
      <c r="R258" s="56"/>
      <c r="S258" s="56"/>
      <c r="T258" s="56"/>
      <c r="U258" s="56"/>
      <c r="V258" s="56"/>
      <c r="W258" s="56"/>
      <c r="X258" s="56"/>
      <c r="Y258" s="53"/>
      <c r="Z258" s="53"/>
      <c r="AA258" s="53"/>
      <c r="AB258" s="53"/>
      <c r="AC258" s="53"/>
      <c r="AD258" s="53"/>
      <c r="AE258" s="53"/>
      <c r="AF258" s="53"/>
      <c r="AG258" s="53"/>
      <c r="AH258" s="53"/>
      <c r="AI258" s="53"/>
      <c r="AJ258" s="53"/>
      <c r="AK258" s="53"/>
      <c r="AL258" s="53"/>
    </row>
    <row r="259" spans="3:38" x14ac:dyDescent="0.25">
      <c r="C259" s="56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56"/>
      <c r="U259" s="56"/>
      <c r="V259" s="56"/>
      <c r="W259" s="56"/>
      <c r="X259" s="56"/>
      <c r="Y259" s="53"/>
      <c r="Z259" s="53"/>
      <c r="AA259" s="53"/>
      <c r="AB259" s="53"/>
      <c r="AC259" s="53"/>
      <c r="AD259" s="53"/>
      <c r="AE259" s="53"/>
      <c r="AF259" s="53"/>
      <c r="AG259" s="53"/>
      <c r="AH259" s="53"/>
      <c r="AI259" s="53"/>
      <c r="AJ259" s="53"/>
      <c r="AK259" s="53"/>
      <c r="AL259" s="53"/>
    </row>
    <row r="260" spans="3:38" x14ac:dyDescent="0.25">
      <c r="C260" s="56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  <c r="O260" s="56"/>
      <c r="P260" s="56"/>
      <c r="Q260" s="56"/>
      <c r="R260" s="56"/>
      <c r="S260" s="56"/>
      <c r="T260" s="56"/>
      <c r="U260" s="56"/>
      <c r="V260" s="56"/>
      <c r="W260" s="56"/>
      <c r="X260" s="56"/>
      <c r="Y260" s="53"/>
      <c r="Z260" s="53"/>
      <c r="AA260" s="53"/>
      <c r="AB260" s="53"/>
      <c r="AC260" s="53"/>
      <c r="AD260" s="53"/>
      <c r="AE260" s="53"/>
      <c r="AF260" s="53"/>
      <c r="AG260" s="53"/>
      <c r="AH260" s="53"/>
      <c r="AI260" s="53"/>
      <c r="AJ260" s="53"/>
      <c r="AK260" s="53"/>
      <c r="AL260" s="53"/>
    </row>
    <row r="261" spans="3:38" x14ac:dyDescent="0.25">
      <c r="C261" s="56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56"/>
      <c r="U261" s="56"/>
      <c r="V261" s="56"/>
      <c r="W261" s="56"/>
      <c r="X261" s="56"/>
      <c r="Y261" s="53"/>
      <c r="Z261" s="53"/>
      <c r="AA261" s="53"/>
      <c r="AB261" s="53"/>
      <c r="AC261" s="53"/>
      <c r="AD261" s="53"/>
      <c r="AE261" s="53"/>
      <c r="AF261" s="53"/>
      <c r="AG261" s="53"/>
      <c r="AH261" s="53"/>
      <c r="AI261" s="53"/>
      <c r="AJ261" s="53"/>
      <c r="AK261" s="53"/>
      <c r="AL261" s="53"/>
    </row>
    <row r="262" spans="3:38" x14ac:dyDescent="0.25">
      <c r="C262" s="56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56"/>
      <c r="U262" s="56"/>
      <c r="V262" s="56"/>
      <c r="W262" s="56"/>
      <c r="X262" s="56"/>
      <c r="Y262" s="53"/>
      <c r="Z262" s="53"/>
      <c r="AA262" s="53"/>
      <c r="AB262" s="53"/>
      <c r="AC262" s="53"/>
      <c r="AD262" s="53"/>
      <c r="AE262" s="53"/>
      <c r="AF262" s="53"/>
      <c r="AG262" s="53"/>
      <c r="AH262" s="53"/>
      <c r="AI262" s="53"/>
      <c r="AJ262" s="53"/>
      <c r="AK262" s="53"/>
      <c r="AL262" s="53"/>
    </row>
    <row r="263" spans="3:38" x14ac:dyDescent="0.25">
      <c r="C263" s="56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56"/>
      <c r="T263" s="56"/>
      <c r="U263" s="56"/>
      <c r="V263" s="56"/>
      <c r="W263" s="56"/>
      <c r="X263" s="56"/>
      <c r="Y263" s="53"/>
      <c r="Z263" s="53"/>
      <c r="AA263" s="53"/>
      <c r="AB263" s="53"/>
      <c r="AC263" s="53"/>
      <c r="AD263" s="53"/>
      <c r="AE263" s="53"/>
      <c r="AF263" s="53"/>
      <c r="AG263" s="53"/>
      <c r="AH263" s="53"/>
      <c r="AI263" s="53"/>
      <c r="AJ263" s="53"/>
      <c r="AK263" s="53"/>
      <c r="AL263" s="53"/>
    </row>
    <row r="264" spans="3:38" x14ac:dyDescent="0.25">
      <c r="C264" s="56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56"/>
      <c r="U264" s="56"/>
      <c r="V264" s="56"/>
      <c r="W264" s="56"/>
      <c r="X264" s="56"/>
      <c r="Y264" s="53"/>
      <c r="Z264" s="53"/>
      <c r="AA264" s="53"/>
      <c r="AB264" s="53"/>
      <c r="AC264" s="53"/>
      <c r="AD264" s="53"/>
      <c r="AE264" s="53"/>
      <c r="AF264" s="53"/>
      <c r="AG264" s="53"/>
      <c r="AH264" s="53"/>
      <c r="AI264" s="53"/>
      <c r="AJ264" s="53"/>
      <c r="AK264" s="53"/>
      <c r="AL264" s="53"/>
    </row>
    <row r="265" spans="3:38" x14ac:dyDescent="0.25">
      <c r="C265" s="56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  <c r="O265" s="56"/>
      <c r="P265" s="56"/>
      <c r="Q265" s="56"/>
      <c r="R265" s="56"/>
      <c r="S265" s="56"/>
      <c r="T265" s="56"/>
      <c r="U265" s="56"/>
      <c r="V265" s="56"/>
      <c r="W265" s="56"/>
      <c r="X265" s="56"/>
      <c r="Y265" s="53"/>
      <c r="Z265" s="53"/>
      <c r="AA265" s="53"/>
      <c r="AB265" s="53"/>
      <c r="AC265" s="53"/>
      <c r="AD265" s="53"/>
      <c r="AE265" s="53"/>
      <c r="AF265" s="53"/>
      <c r="AG265" s="53"/>
      <c r="AH265" s="53"/>
      <c r="AI265" s="53"/>
      <c r="AJ265" s="53"/>
      <c r="AK265" s="53"/>
      <c r="AL265" s="53"/>
    </row>
    <row r="266" spans="3:38" x14ac:dyDescent="0.25">
      <c r="C266" s="56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56"/>
      <c r="T266" s="56"/>
      <c r="U266" s="56"/>
      <c r="V266" s="56"/>
      <c r="W266" s="56"/>
      <c r="X266" s="56"/>
      <c r="Y266" s="53"/>
      <c r="Z266" s="53"/>
      <c r="AA266" s="53"/>
      <c r="AB266" s="53"/>
      <c r="AC266" s="53"/>
      <c r="AD266" s="53"/>
      <c r="AE266" s="53"/>
      <c r="AF266" s="53"/>
      <c r="AG266" s="53"/>
      <c r="AH266" s="53"/>
      <c r="AI266" s="53"/>
      <c r="AJ266" s="53"/>
      <c r="AK266" s="53"/>
      <c r="AL266" s="53"/>
    </row>
    <row r="267" spans="3:38" x14ac:dyDescent="0.25">
      <c r="C267" s="56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56"/>
      <c r="T267" s="56"/>
      <c r="U267" s="56"/>
      <c r="V267" s="56"/>
      <c r="W267" s="56"/>
      <c r="X267" s="56"/>
      <c r="Y267" s="53"/>
      <c r="Z267" s="53"/>
      <c r="AA267" s="53"/>
      <c r="AB267" s="53"/>
      <c r="AC267" s="53"/>
      <c r="AD267" s="53"/>
      <c r="AE267" s="53"/>
      <c r="AF267" s="53"/>
      <c r="AG267" s="53"/>
      <c r="AH267" s="53"/>
      <c r="AI267" s="53"/>
      <c r="AJ267" s="53"/>
      <c r="AK267" s="53"/>
      <c r="AL267" s="53"/>
    </row>
    <row r="268" spans="3:38" x14ac:dyDescent="0.25">
      <c r="C268" s="56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56"/>
      <c r="T268" s="56"/>
      <c r="U268" s="56"/>
      <c r="V268" s="56"/>
      <c r="W268" s="56"/>
      <c r="X268" s="56"/>
      <c r="Y268" s="53"/>
      <c r="Z268" s="53"/>
      <c r="AA268" s="53"/>
      <c r="AB268" s="53"/>
      <c r="AC268" s="53"/>
      <c r="AD268" s="53"/>
      <c r="AE268" s="53"/>
      <c r="AF268" s="53"/>
      <c r="AG268" s="53"/>
      <c r="AH268" s="53"/>
      <c r="AI268" s="53"/>
      <c r="AJ268" s="53"/>
      <c r="AK268" s="53"/>
      <c r="AL268" s="53"/>
    </row>
    <row r="269" spans="3:38" x14ac:dyDescent="0.25">
      <c r="C269" s="56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56"/>
      <c r="T269" s="56"/>
      <c r="U269" s="56"/>
      <c r="V269" s="56"/>
      <c r="W269" s="56"/>
      <c r="X269" s="56"/>
      <c r="Y269" s="53"/>
      <c r="Z269" s="53"/>
      <c r="AA269" s="53"/>
      <c r="AB269" s="53"/>
      <c r="AC269" s="53"/>
      <c r="AD269" s="53"/>
      <c r="AE269" s="53"/>
      <c r="AF269" s="53"/>
      <c r="AG269" s="53"/>
      <c r="AH269" s="53"/>
      <c r="AI269" s="53"/>
      <c r="AJ269" s="53"/>
      <c r="AK269" s="53"/>
      <c r="AL269" s="53"/>
    </row>
    <row r="270" spans="3:38" x14ac:dyDescent="0.25">
      <c r="C270" s="56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  <c r="O270" s="56"/>
      <c r="P270" s="56"/>
      <c r="Q270" s="56"/>
      <c r="R270" s="56"/>
      <c r="S270" s="56"/>
      <c r="T270" s="56"/>
      <c r="U270" s="56"/>
      <c r="V270" s="56"/>
      <c r="W270" s="56"/>
      <c r="X270" s="56"/>
      <c r="Y270" s="53"/>
      <c r="Z270" s="53"/>
      <c r="AA270" s="53"/>
      <c r="AB270" s="53"/>
      <c r="AC270" s="53"/>
      <c r="AD270" s="53"/>
      <c r="AE270" s="53"/>
      <c r="AF270" s="53"/>
      <c r="AG270" s="53"/>
      <c r="AH270" s="53"/>
      <c r="AI270" s="53"/>
      <c r="AJ270" s="53"/>
      <c r="AK270" s="53"/>
      <c r="AL270" s="53"/>
    </row>
    <row r="271" spans="3:38" x14ac:dyDescent="0.25">
      <c r="C271" s="56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  <c r="O271" s="56"/>
      <c r="P271" s="56"/>
      <c r="Q271" s="56"/>
      <c r="R271" s="56"/>
      <c r="S271" s="56"/>
      <c r="T271" s="56"/>
      <c r="U271" s="56"/>
      <c r="V271" s="56"/>
      <c r="W271" s="56"/>
      <c r="X271" s="56"/>
      <c r="Y271" s="53"/>
      <c r="Z271" s="53"/>
      <c r="AA271" s="53"/>
      <c r="AB271" s="53"/>
      <c r="AC271" s="53"/>
      <c r="AD271" s="53"/>
      <c r="AE271" s="53"/>
      <c r="AF271" s="53"/>
      <c r="AG271" s="53"/>
      <c r="AH271" s="53"/>
      <c r="AI271" s="53"/>
      <c r="AJ271" s="53"/>
      <c r="AK271" s="53"/>
      <c r="AL271" s="53"/>
    </row>
    <row r="272" spans="3:38" x14ac:dyDescent="0.25">
      <c r="C272" s="56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56"/>
      <c r="U272" s="56"/>
      <c r="V272" s="56"/>
      <c r="W272" s="56"/>
      <c r="X272" s="56"/>
      <c r="Y272" s="53"/>
      <c r="Z272" s="53"/>
      <c r="AA272" s="53"/>
      <c r="AB272" s="53"/>
      <c r="AC272" s="53"/>
      <c r="AD272" s="53"/>
      <c r="AE272" s="53"/>
      <c r="AF272" s="53"/>
      <c r="AG272" s="53"/>
      <c r="AH272" s="53"/>
      <c r="AI272" s="53"/>
      <c r="AJ272" s="53"/>
      <c r="AK272" s="53"/>
      <c r="AL272" s="53"/>
    </row>
    <row r="273" spans="3:38" x14ac:dyDescent="0.25">
      <c r="C273" s="56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56"/>
      <c r="U273" s="56"/>
      <c r="V273" s="56"/>
      <c r="W273" s="56"/>
      <c r="X273" s="56"/>
      <c r="Y273" s="53"/>
      <c r="Z273" s="53"/>
      <c r="AA273" s="53"/>
      <c r="AB273" s="53"/>
      <c r="AC273" s="53"/>
      <c r="AD273" s="53"/>
      <c r="AE273" s="53"/>
      <c r="AF273" s="53"/>
      <c r="AG273" s="53"/>
      <c r="AH273" s="53"/>
      <c r="AI273" s="53"/>
      <c r="AJ273" s="53"/>
      <c r="AK273" s="53"/>
      <c r="AL273" s="53"/>
    </row>
    <row r="274" spans="3:38" x14ac:dyDescent="0.25">
      <c r="C274" s="56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56"/>
      <c r="U274" s="56"/>
      <c r="V274" s="56"/>
      <c r="W274" s="56"/>
      <c r="X274" s="56"/>
      <c r="Y274" s="53"/>
      <c r="Z274" s="53"/>
      <c r="AA274" s="53"/>
      <c r="AB274" s="53"/>
      <c r="AC274" s="53"/>
      <c r="AD274" s="53"/>
      <c r="AE274" s="53"/>
      <c r="AF274" s="53"/>
      <c r="AG274" s="53"/>
      <c r="AH274" s="53"/>
      <c r="AI274" s="53"/>
      <c r="AJ274" s="53"/>
      <c r="AK274" s="53"/>
      <c r="AL274" s="53"/>
    </row>
    <row r="275" spans="3:38" x14ac:dyDescent="0.25">
      <c r="C275" s="56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56"/>
      <c r="U275" s="56"/>
      <c r="V275" s="56"/>
      <c r="W275" s="56"/>
      <c r="X275" s="56"/>
      <c r="Y275" s="53"/>
      <c r="Z275" s="53"/>
      <c r="AA275" s="53"/>
      <c r="AB275" s="53"/>
      <c r="AC275" s="53"/>
      <c r="AD275" s="53"/>
      <c r="AE275" s="53"/>
      <c r="AF275" s="53"/>
      <c r="AG275" s="53"/>
      <c r="AH275" s="53"/>
      <c r="AI275" s="53"/>
      <c r="AJ275" s="53"/>
      <c r="AK275" s="53"/>
      <c r="AL275" s="53"/>
    </row>
    <row r="276" spans="3:38" x14ac:dyDescent="0.25">
      <c r="C276" s="56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  <c r="O276" s="56"/>
      <c r="P276" s="56"/>
      <c r="Q276" s="56"/>
      <c r="R276" s="56"/>
      <c r="S276" s="56"/>
      <c r="T276" s="56"/>
      <c r="U276" s="56"/>
      <c r="V276" s="56"/>
      <c r="W276" s="56"/>
      <c r="X276" s="56"/>
      <c r="Y276" s="53"/>
      <c r="Z276" s="53"/>
      <c r="AA276" s="53"/>
      <c r="AB276" s="53"/>
      <c r="AC276" s="53"/>
      <c r="AD276" s="53"/>
      <c r="AE276" s="53"/>
      <c r="AF276" s="53"/>
      <c r="AG276" s="53"/>
      <c r="AH276" s="53"/>
      <c r="AI276" s="53"/>
      <c r="AJ276" s="53"/>
      <c r="AK276" s="53"/>
      <c r="AL276" s="53"/>
    </row>
    <row r="277" spans="3:38" x14ac:dyDescent="0.25">
      <c r="C277" s="56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  <c r="O277" s="56"/>
      <c r="P277" s="56"/>
      <c r="Q277" s="56"/>
      <c r="R277" s="56"/>
      <c r="S277" s="56"/>
      <c r="T277" s="56"/>
      <c r="U277" s="56"/>
      <c r="V277" s="56"/>
      <c r="W277" s="56"/>
      <c r="X277" s="56"/>
      <c r="Y277" s="53"/>
      <c r="Z277" s="53"/>
      <c r="AA277" s="53"/>
      <c r="AB277" s="53"/>
      <c r="AC277" s="53"/>
      <c r="AD277" s="53"/>
      <c r="AE277" s="53"/>
      <c r="AF277" s="53"/>
      <c r="AG277" s="53"/>
      <c r="AH277" s="53"/>
      <c r="AI277" s="53"/>
      <c r="AJ277" s="53"/>
      <c r="AK277" s="53"/>
      <c r="AL277" s="53"/>
    </row>
    <row r="278" spans="3:38" x14ac:dyDescent="0.25">
      <c r="C278" s="56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  <c r="O278" s="56"/>
      <c r="P278" s="56"/>
      <c r="Q278" s="56"/>
      <c r="R278" s="56"/>
      <c r="S278" s="56"/>
      <c r="T278" s="56"/>
      <c r="U278" s="56"/>
      <c r="V278" s="56"/>
      <c r="W278" s="56"/>
      <c r="X278" s="56"/>
      <c r="Y278" s="53"/>
      <c r="Z278" s="53"/>
      <c r="AA278" s="53"/>
      <c r="AB278" s="53"/>
      <c r="AC278" s="53"/>
      <c r="AD278" s="53"/>
      <c r="AE278" s="53"/>
      <c r="AF278" s="53"/>
      <c r="AG278" s="53"/>
      <c r="AH278" s="53"/>
      <c r="AI278" s="53"/>
      <c r="AJ278" s="53"/>
      <c r="AK278" s="53"/>
      <c r="AL278" s="53"/>
    </row>
    <row r="279" spans="3:38" x14ac:dyDescent="0.25">
      <c r="C279" s="56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  <c r="O279" s="56"/>
      <c r="P279" s="56"/>
      <c r="Q279" s="56"/>
      <c r="R279" s="56"/>
      <c r="S279" s="56"/>
      <c r="T279" s="56"/>
      <c r="U279" s="56"/>
      <c r="V279" s="56"/>
      <c r="W279" s="56"/>
      <c r="X279" s="56"/>
      <c r="Y279" s="53"/>
      <c r="Z279" s="53"/>
      <c r="AA279" s="53"/>
      <c r="AB279" s="53"/>
      <c r="AC279" s="53"/>
      <c r="AD279" s="53"/>
      <c r="AE279" s="53"/>
      <c r="AF279" s="53"/>
      <c r="AG279" s="53"/>
      <c r="AH279" s="53"/>
      <c r="AI279" s="53"/>
      <c r="AJ279" s="53"/>
      <c r="AK279" s="53"/>
      <c r="AL279" s="53"/>
    </row>
    <row r="280" spans="3:38" x14ac:dyDescent="0.25">
      <c r="C280" s="56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  <c r="O280" s="56"/>
      <c r="P280" s="56"/>
      <c r="Q280" s="56"/>
      <c r="R280" s="56"/>
      <c r="S280" s="56"/>
      <c r="T280" s="56"/>
      <c r="U280" s="56"/>
      <c r="V280" s="56"/>
      <c r="W280" s="56"/>
      <c r="X280" s="56"/>
      <c r="Y280" s="53"/>
      <c r="Z280" s="53"/>
      <c r="AA280" s="53"/>
      <c r="AB280" s="53"/>
      <c r="AC280" s="53"/>
      <c r="AD280" s="53"/>
      <c r="AE280" s="53"/>
      <c r="AF280" s="53"/>
      <c r="AG280" s="53"/>
      <c r="AH280" s="53"/>
      <c r="AI280" s="53"/>
      <c r="AJ280" s="53"/>
      <c r="AK280" s="53"/>
      <c r="AL280" s="53"/>
    </row>
    <row r="281" spans="3:38" x14ac:dyDescent="0.25">
      <c r="C281" s="56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  <c r="O281" s="56"/>
      <c r="P281" s="56"/>
      <c r="Q281" s="56"/>
      <c r="R281" s="56"/>
      <c r="S281" s="56"/>
      <c r="T281" s="56"/>
      <c r="U281" s="56"/>
      <c r="V281" s="56"/>
      <c r="W281" s="56"/>
      <c r="X281" s="56"/>
      <c r="Y281" s="53"/>
      <c r="Z281" s="53"/>
      <c r="AA281" s="53"/>
      <c r="AB281" s="53"/>
      <c r="AC281" s="53"/>
      <c r="AD281" s="53"/>
      <c r="AE281" s="53"/>
      <c r="AF281" s="53"/>
      <c r="AG281" s="53"/>
      <c r="AH281" s="53"/>
      <c r="AI281" s="53"/>
      <c r="AJ281" s="53"/>
      <c r="AK281" s="53"/>
      <c r="AL281" s="53"/>
    </row>
    <row r="282" spans="3:38" x14ac:dyDescent="0.25">
      <c r="C282" s="56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  <c r="O282" s="56"/>
      <c r="P282" s="56"/>
      <c r="Q282" s="56"/>
      <c r="R282" s="56"/>
      <c r="S282" s="56"/>
      <c r="T282" s="56"/>
      <c r="U282" s="56"/>
      <c r="V282" s="56"/>
      <c r="W282" s="56"/>
      <c r="X282" s="56"/>
      <c r="Y282" s="53"/>
      <c r="Z282" s="53"/>
      <c r="AA282" s="53"/>
      <c r="AB282" s="53"/>
      <c r="AC282" s="53"/>
      <c r="AD282" s="53"/>
      <c r="AE282" s="53"/>
      <c r="AF282" s="53"/>
      <c r="AG282" s="53"/>
      <c r="AH282" s="53"/>
      <c r="AI282" s="53"/>
      <c r="AJ282" s="53"/>
      <c r="AK282" s="53"/>
      <c r="AL282" s="53"/>
    </row>
    <row r="283" spans="3:38" x14ac:dyDescent="0.25">
      <c r="C283" s="56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  <c r="O283" s="56"/>
      <c r="P283" s="56"/>
      <c r="Q283" s="56"/>
      <c r="R283" s="56"/>
      <c r="S283" s="56"/>
      <c r="T283" s="56"/>
      <c r="U283" s="56"/>
      <c r="V283" s="56"/>
      <c r="W283" s="56"/>
      <c r="X283" s="56"/>
      <c r="Y283" s="53"/>
      <c r="Z283" s="53"/>
      <c r="AA283" s="53"/>
      <c r="AB283" s="53"/>
      <c r="AC283" s="53"/>
      <c r="AD283" s="53"/>
      <c r="AE283" s="53"/>
      <c r="AF283" s="53"/>
      <c r="AG283" s="53"/>
      <c r="AH283" s="53"/>
      <c r="AI283" s="53"/>
      <c r="AJ283" s="53"/>
      <c r="AK283" s="53"/>
      <c r="AL283" s="53"/>
    </row>
    <row r="284" spans="3:38" x14ac:dyDescent="0.25">
      <c r="C284" s="56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  <c r="O284" s="56"/>
      <c r="P284" s="56"/>
      <c r="Q284" s="56"/>
      <c r="R284" s="56"/>
      <c r="S284" s="56"/>
      <c r="T284" s="56"/>
      <c r="U284" s="56"/>
      <c r="V284" s="56"/>
      <c r="W284" s="56"/>
      <c r="X284" s="56"/>
      <c r="Y284" s="53"/>
      <c r="Z284" s="53"/>
      <c r="AA284" s="53"/>
      <c r="AB284" s="53"/>
      <c r="AC284" s="53"/>
      <c r="AD284" s="53"/>
      <c r="AE284" s="53"/>
      <c r="AF284" s="53"/>
      <c r="AG284" s="53"/>
      <c r="AH284" s="53"/>
      <c r="AI284" s="53"/>
      <c r="AJ284" s="53"/>
      <c r="AK284" s="53"/>
      <c r="AL284" s="53"/>
    </row>
    <row r="285" spans="3:38" x14ac:dyDescent="0.25">
      <c r="C285" s="56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  <c r="O285" s="56"/>
      <c r="P285" s="56"/>
      <c r="Q285" s="56"/>
      <c r="R285" s="56"/>
      <c r="S285" s="56"/>
      <c r="T285" s="56"/>
      <c r="U285" s="56"/>
      <c r="V285" s="56"/>
      <c r="W285" s="56"/>
      <c r="X285" s="56"/>
      <c r="Y285" s="53"/>
      <c r="Z285" s="53"/>
      <c r="AA285" s="53"/>
      <c r="AB285" s="53"/>
      <c r="AC285" s="53"/>
      <c r="AD285" s="53"/>
      <c r="AE285" s="53"/>
      <c r="AF285" s="53"/>
      <c r="AG285" s="53"/>
      <c r="AH285" s="53"/>
      <c r="AI285" s="53"/>
      <c r="AJ285" s="53"/>
      <c r="AK285" s="53"/>
      <c r="AL285" s="53"/>
    </row>
    <row r="286" spans="3:38" x14ac:dyDescent="0.25">
      <c r="C286" s="56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  <c r="O286" s="56"/>
      <c r="P286" s="56"/>
      <c r="Q286" s="56"/>
      <c r="R286" s="56"/>
      <c r="S286" s="56"/>
      <c r="T286" s="56"/>
      <c r="U286" s="56"/>
      <c r="V286" s="56"/>
      <c r="W286" s="56"/>
      <c r="X286" s="56"/>
      <c r="Y286" s="53"/>
      <c r="Z286" s="53"/>
      <c r="AA286" s="53"/>
      <c r="AB286" s="53"/>
      <c r="AC286" s="53"/>
      <c r="AD286" s="53"/>
      <c r="AE286" s="53"/>
      <c r="AF286" s="53"/>
      <c r="AG286" s="53"/>
      <c r="AH286" s="53"/>
      <c r="AI286" s="53"/>
      <c r="AJ286" s="53"/>
      <c r="AK286" s="53"/>
      <c r="AL286" s="53"/>
    </row>
    <row r="287" spans="3:38" x14ac:dyDescent="0.25">
      <c r="C287" s="56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  <c r="O287" s="56"/>
      <c r="P287" s="56"/>
      <c r="Q287" s="56"/>
      <c r="R287" s="56"/>
      <c r="S287" s="56"/>
      <c r="T287" s="56"/>
      <c r="U287" s="56"/>
      <c r="V287" s="56"/>
      <c r="W287" s="56"/>
      <c r="X287" s="56"/>
      <c r="Y287" s="53"/>
      <c r="Z287" s="53"/>
      <c r="AA287" s="53"/>
      <c r="AB287" s="53"/>
      <c r="AC287" s="53"/>
      <c r="AD287" s="53"/>
      <c r="AE287" s="53"/>
      <c r="AF287" s="53"/>
      <c r="AG287" s="53"/>
      <c r="AH287" s="53"/>
      <c r="AI287" s="53"/>
      <c r="AJ287" s="53"/>
      <c r="AK287" s="53"/>
      <c r="AL287" s="53"/>
    </row>
    <row r="288" spans="3:38" x14ac:dyDescent="0.25">
      <c r="C288" s="56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  <c r="O288" s="56"/>
      <c r="P288" s="56"/>
      <c r="Q288" s="56"/>
      <c r="R288" s="56"/>
      <c r="S288" s="56"/>
      <c r="T288" s="56"/>
      <c r="U288" s="56"/>
      <c r="V288" s="56"/>
      <c r="W288" s="56"/>
      <c r="X288" s="56"/>
      <c r="Y288" s="53"/>
      <c r="Z288" s="53"/>
      <c r="AA288" s="53"/>
      <c r="AB288" s="53"/>
      <c r="AC288" s="53"/>
      <c r="AD288" s="53"/>
      <c r="AE288" s="53"/>
      <c r="AF288" s="53"/>
      <c r="AG288" s="53"/>
      <c r="AH288" s="53"/>
      <c r="AI288" s="53"/>
      <c r="AJ288" s="53"/>
      <c r="AK288" s="53"/>
      <c r="AL288" s="53"/>
    </row>
    <row r="289" spans="3:38" x14ac:dyDescent="0.25"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W289" s="56"/>
      <c r="X289" s="56"/>
      <c r="Y289" s="53"/>
      <c r="Z289" s="53"/>
      <c r="AA289" s="53"/>
      <c r="AB289" s="53"/>
      <c r="AC289" s="53"/>
      <c r="AD289" s="53"/>
      <c r="AE289" s="53"/>
      <c r="AF289" s="53"/>
      <c r="AG289" s="53"/>
      <c r="AH289" s="53"/>
      <c r="AI289" s="53"/>
      <c r="AJ289" s="53"/>
      <c r="AK289" s="53"/>
      <c r="AL289" s="53"/>
    </row>
    <row r="290" spans="3:38" x14ac:dyDescent="0.25">
      <c r="C290" s="56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  <c r="O290" s="56"/>
      <c r="P290" s="56"/>
      <c r="Q290" s="56"/>
      <c r="R290" s="56"/>
      <c r="S290" s="56"/>
      <c r="T290" s="56"/>
      <c r="U290" s="56"/>
      <c r="V290" s="56"/>
      <c r="W290" s="56"/>
      <c r="X290" s="56"/>
      <c r="Y290" s="53"/>
      <c r="Z290" s="53"/>
      <c r="AA290" s="53"/>
      <c r="AB290" s="53"/>
      <c r="AC290" s="53"/>
      <c r="AD290" s="53"/>
      <c r="AE290" s="53"/>
      <c r="AF290" s="53"/>
      <c r="AG290" s="53"/>
      <c r="AH290" s="53"/>
      <c r="AI290" s="53"/>
      <c r="AJ290" s="53"/>
      <c r="AK290" s="53"/>
      <c r="AL290" s="53"/>
    </row>
    <row r="291" spans="3:38" x14ac:dyDescent="0.25">
      <c r="C291" s="56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  <c r="O291" s="56"/>
      <c r="P291" s="56"/>
      <c r="Q291" s="56"/>
      <c r="R291" s="56"/>
      <c r="S291" s="56"/>
      <c r="T291" s="56"/>
      <c r="U291" s="56"/>
      <c r="V291" s="56"/>
      <c r="W291" s="56"/>
      <c r="X291" s="56"/>
      <c r="Y291" s="53"/>
      <c r="Z291" s="53"/>
      <c r="AA291" s="53"/>
      <c r="AB291" s="53"/>
      <c r="AC291" s="53"/>
      <c r="AD291" s="53"/>
      <c r="AE291" s="53"/>
      <c r="AF291" s="53"/>
      <c r="AG291" s="53"/>
      <c r="AH291" s="53"/>
      <c r="AI291" s="53"/>
      <c r="AJ291" s="53"/>
      <c r="AK291" s="53"/>
      <c r="AL291" s="53"/>
    </row>
    <row r="292" spans="3:38" x14ac:dyDescent="0.25">
      <c r="C292" s="56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  <c r="O292" s="56"/>
      <c r="P292" s="56"/>
      <c r="Q292" s="56"/>
      <c r="R292" s="56"/>
      <c r="S292" s="56"/>
      <c r="T292" s="56"/>
      <c r="U292" s="56"/>
      <c r="V292" s="56"/>
      <c r="W292" s="56"/>
      <c r="X292" s="56"/>
      <c r="Y292" s="53"/>
      <c r="Z292" s="53"/>
      <c r="AA292" s="53"/>
      <c r="AB292" s="53"/>
      <c r="AC292" s="53"/>
      <c r="AD292" s="53"/>
      <c r="AE292" s="53"/>
      <c r="AF292" s="53"/>
      <c r="AG292" s="53"/>
      <c r="AH292" s="53"/>
      <c r="AI292" s="53"/>
      <c r="AJ292" s="53"/>
      <c r="AK292" s="53"/>
      <c r="AL292" s="53"/>
    </row>
    <row r="293" spans="3:38" x14ac:dyDescent="0.25">
      <c r="C293" s="56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  <c r="O293" s="56"/>
      <c r="P293" s="56"/>
      <c r="Q293" s="56"/>
      <c r="R293" s="56"/>
      <c r="S293" s="56"/>
      <c r="T293" s="56"/>
      <c r="U293" s="56"/>
      <c r="V293" s="56"/>
      <c r="W293" s="56"/>
      <c r="X293" s="56"/>
      <c r="Y293" s="53"/>
      <c r="Z293" s="53"/>
      <c r="AA293" s="53"/>
      <c r="AB293" s="53"/>
      <c r="AC293" s="53"/>
      <c r="AD293" s="53"/>
      <c r="AE293" s="53"/>
      <c r="AF293" s="53"/>
      <c r="AG293" s="53"/>
      <c r="AH293" s="53"/>
      <c r="AI293" s="53"/>
      <c r="AJ293" s="53"/>
      <c r="AK293" s="53"/>
      <c r="AL293" s="53"/>
    </row>
    <row r="294" spans="3:38" x14ac:dyDescent="0.25">
      <c r="C294" s="56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  <c r="O294" s="56"/>
      <c r="P294" s="56"/>
      <c r="Q294" s="56"/>
      <c r="R294" s="56"/>
      <c r="S294" s="56"/>
      <c r="T294" s="56"/>
      <c r="U294" s="56"/>
      <c r="V294" s="56"/>
      <c r="W294" s="56"/>
      <c r="X294" s="56"/>
      <c r="Y294" s="53"/>
      <c r="Z294" s="53"/>
      <c r="AA294" s="53"/>
      <c r="AB294" s="53"/>
      <c r="AC294" s="53"/>
      <c r="AD294" s="53"/>
      <c r="AE294" s="53"/>
      <c r="AF294" s="53"/>
      <c r="AG294" s="53"/>
      <c r="AH294" s="53"/>
      <c r="AI294" s="53"/>
      <c r="AJ294" s="53"/>
      <c r="AK294" s="53"/>
      <c r="AL294" s="53"/>
    </row>
    <row r="295" spans="3:38" x14ac:dyDescent="0.25">
      <c r="C295" s="56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  <c r="O295" s="56"/>
      <c r="P295" s="56"/>
      <c r="Q295" s="56"/>
      <c r="R295" s="56"/>
      <c r="S295" s="56"/>
      <c r="T295" s="56"/>
      <c r="U295" s="56"/>
      <c r="V295" s="56"/>
      <c r="W295" s="56"/>
      <c r="X295" s="56"/>
      <c r="Y295" s="53"/>
      <c r="Z295" s="53"/>
      <c r="AA295" s="53"/>
      <c r="AB295" s="53"/>
      <c r="AC295" s="53"/>
      <c r="AD295" s="53"/>
      <c r="AE295" s="53"/>
      <c r="AF295" s="53"/>
      <c r="AG295" s="53"/>
      <c r="AH295" s="53"/>
      <c r="AI295" s="53"/>
      <c r="AJ295" s="53"/>
      <c r="AK295" s="53"/>
      <c r="AL295" s="53"/>
    </row>
    <row r="296" spans="3:38" x14ac:dyDescent="0.25">
      <c r="C296" s="56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  <c r="O296" s="56"/>
      <c r="P296" s="56"/>
      <c r="Q296" s="56"/>
      <c r="R296" s="56"/>
      <c r="S296" s="56"/>
      <c r="T296" s="56"/>
      <c r="U296" s="56"/>
      <c r="V296" s="56"/>
      <c r="W296" s="56"/>
      <c r="X296" s="56"/>
      <c r="Y296" s="53"/>
      <c r="Z296" s="53"/>
      <c r="AA296" s="53"/>
      <c r="AB296" s="53"/>
      <c r="AC296" s="53"/>
      <c r="AD296" s="53"/>
      <c r="AE296" s="53"/>
      <c r="AF296" s="53"/>
      <c r="AG296" s="53"/>
      <c r="AH296" s="53"/>
      <c r="AI296" s="53"/>
      <c r="AJ296" s="53"/>
      <c r="AK296" s="53"/>
      <c r="AL296" s="53"/>
    </row>
    <row r="297" spans="3:38" x14ac:dyDescent="0.25">
      <c r="C297" s="56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  <c r="O297" s="56"/>
      <c r="P297" s="56"/>
      <c r="Q297" s="56"/>
      <c r="R297" s="56"/>
      <c r="S297" s="56"/>
      <c r="T297" s="56"/>
      <c r="U297" s="56"/>
      <c r="V297" s="56"/>
      <c r="W297" s="56"/>
      <c r="X297" s="56"/>
      <c r="Y297" s="53"/>
      <c r="Z297" s="53"/>
      <c r="AA297" s="53"/>
      <c r="AB297" s="53"/>
      <c r="AC297" s="53"/>
      <c r="AD297" s="53"/>
      <c r="AE297" s="53"/>
      <c r="AF297" s="53"/>
      <c r="AG297" s="53"/>
      <c r="AH297" s="53"/>
      <c r="AI297" s="53"/>
      <c r="AJ297" s="53"/>
      <c r="AK297" s="53"/>
      <c r="AL297" s="53"/>
    </row>
    <row r="298" spans="3:38" x14ac:dyDescent="0.25">
      <c r="C298" s="56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  <c r="O298" s="56"/>
      <c r="P298" s="56"/>
      <c r="Q298" s="56"/>
      <c r="R298" s="56"/>
      <c r="S298" s="56"/>
      <c r="T298" s="56"/>
      <c r="U298" s="56"/>
      <c r="V298" s="56"/>
      <c r="W298" s="56"/>
      <c r="X298" s="56"/>
      <c r="Y298" s="53"/>
      <c r="Z298" s="53"/>
      <c r="AA298" s="53"/>
      <c r="AB298" s="53"/>
      <c r="AC298" s="53"/>
      <c r="AD298" s="53"/>
      <c r="AE298" s="53"/>
      <c r="AF298" s="53"/>
      <c r="AG298" s="53"/>
      <c r="AH298" s="53"/>
      <c r="AI298" s="53"/>
      <c r="AJ298" s="53"/>
      <c r="AK298" s="53"/>
      <c r="AL298" s="53"/>
    </row>
    <row r="299" spans="3:38" x14ac:dyDescent="0.25">
      <c r="C299" s="56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  <c r="O299" s="56"/>
      <c r="P299" s="56"/>
      <c r="Q299" s="56"/>
      <c r="R299" s="56"/>
      <c r="S299" s="56"/>
      <c r="T299" s="56"/>
      <c r="U299" s="56"/>
      <c r="V299" s="56"/>
      <c r="W299" s="56"/>
      <c r="X299" s="56"/>
      <c r="Y299" s="53"/>
      <c r="Z299" s="53"/>
      <c r="AA299" s="53"/>
      <c r="AB299" s="53"/>
      <c r="AC299" s="53"/>
      <c r="AD299" s="53"/>
      <c r="AE299" s="53"/>
      <c r="AF299" s="53"/>
      <c r="AG299" s="53"/>
      <c r="AH299" s="53"/>
      <c r="AI299" s="53"/>
      <c r="AJ299" s="53"/>
      <c r="AK299" s="53"/>
      <c r="AL299" s="53"/>
    </row>
    <row r="300" spans="3:38" x14ac:dyDescent="0.25">
      <c r="C300" s="56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  <c r="O300" s="56"/>
      <c r="P300" s="56"/>
      <c r="Q300" s="56"/>
      <c r="R300" s="56"/>
      <c r="S300" s="56"/>
      <c r="T300" s="56"/>
      <c r="U300" s="56"/>
      <c r="V300" s="56"/>
      <c r="W300" s="56"/>
      <c r="X300" s="56"/>
      <c r="Y300" s="53"/>
      <c r="Z300" s="53"/>
      <c r="AA300" s="53"/>
      <c r="AB300" s="53"/>
      <c r="AC300" s="53"/>
      <c r="AD300" s="53"/>
      <c r="AE300" s="53"/>
      <c r="AF300" s="53"/>
      <c r="AG300" s="53"/>
      <c r="AH300" s="53"/>
      <c r="AI300" s="53"/>
      <c r="AJ300" s="53"/>
      <c r="AK300" s="53"/>
      <c r="AL300" s="53"/>
    </row>
    <row r="301" spans="3:38" x14ac:dyDescent="0.25">
      <c r="C301" s="56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  <c r="O301" s="56"/>
      <c r="P301" s="56"/>
      <c r="Q301" s="56"/>
      <c r="R301" s="56"/>
      <c r="S301" s="56"/>
      <c r="T301" s="56"/>
      <c r="U301" s="56"/>
      <c r="V301" s="56"/>
      <c r="W301" s="56"/>
      <c r="X301" s="56"/>
      <c r="Y301" s="53"/>
      <c r="Z301" s="53"/>
      <c r="AA301" s="53"/>
      <c r="AB301" s="53"/>
      <c r="AC301" s="53"/>
      <c r="AD301" s="53"/>
      <c r="AE301" s="53"/>
      <c r="AF301" s="53"/>
      <c r="AG301" s="53"/>
      <c r="AH301" s="53"/>
      <c r="AI301" s="53"/>
      <c r="AJ301" s="53"/>
      <c r="AK301" s="53"/>
      <c r="AL301" s="53"/>
    </row>
    <row r="302" spans="3:38" x14ac:dyDescent="0.25">
      <c r="C302" s="56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  <c r="O302" s="56"/>
      <c r="P302" s="56"/>
      <c r="Q302" s="56"/>
      <c r="R302" s="56"/>
      <c r="S302" s="56"/>
      <c r="T302" s="56"/>
      <c r="U302" s="56"/>
      <c r="V302" s="56"/>
      <c r="W302" s="56"/>
      <c r="X302" s="56"/>
      <c r="Y302" s="53"/>
      <c r="Z302" s="53"/>
      <c r="AA302" s="53"/>
      <c r="AB302" s="53"/>
      <c r="AC302" s="53"/>
      <c r="AD302" s="53"/>
      <c r="AE302" s="53"/>
      <c r="AF302" s="53"/>
      <c r="AG302" s="53"/>
      <c r="AH302" s="53"/>
      <c r="AI302" s="53"/>
      <c r="AJ302" s="53"/>
      <c r="AK302" s="53"/>
      <c r="AL302" s="53"/>
    </row>
    <row r="303" spans="3:38" x14ac:dyDescent="0.25">
      <c r="C303" s="56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  <c r="O303" s="56"/>
      <c r="P303" s="56"/>
      <c r="Q303" s="56"/>
      <c r="R303" s="56"/>
      <c r="S303" s="56"/>
      <c r="T303" s="56"/>
      <c r="U303" s="56"/>
      <c r="V303" s="56"/>
      <c r="W303" s="56"/>
      <c r="X303" s="56"/>
      <c r="Y303" s="53"/>
      <c r="Z303" s="53"/>
      <c r="AA303" s="53"/>
      <c r="AB303" s="53"/>
      <c r="AC303" s="53"/>
      <c r="AD303" s="53"/>
      <c r="AE303" s="53"/>
      <c r="AF303" s="53"/>
      <c r="AG303" s="53"/>
      <c r="AH303" s="53"/>
      <c r="AI303" s="53"/>
      <c r="AJ303" s="53"/>
      <c r="AK303" s="53"/>
      <c r="AL303" s="53"/>
    </row>
    <row r="304" spans="3:38" x14ac:dyDescent="0.25">
      <c r="C304" s="56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  <c r="O304" s="56"/>
      <c r="P304" s="56"/>
      <c r="Q304" s="56"/>
      <c r="R304" s="56"/>
      <c r="S304" s="56"/>
      <c r="T304" s="56"/>
      <c r="U304" s="56"/>
      <c r="V304" s="56"/>
      <c r="W304" s="56"/>
      <c r="X304" s="56"/>
      <c r="Y304" s="53"/>
      <c r="Z304" s="53"/>
      <c r="AA304" s="53"/>
      <c r="AB304" s="53"/>
      <c r="AC304" s="53"/>
      <c r="AD304" s="53"/>
      <c r="AE304" s="53"/>
      <c r="AF304" s="53"/>
      <c r="AG304" s="53"/>
      <c r="AH304" s="53"/>
      <c r="AI304" s="53"/>
      <c r="AJ304" s="53"/>
      <c r="AK304" s="53"/>
      <c r="AL304" s="53"/>
    </row>
    <row r="305" spans="3:38" x14ac:dyDescent="0.25">
      <c r="C305" s="56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  <c r="O305" s="56"/>
      <c r="P305" s="56"/>
      <c r="Q305" s="56"/>
      <c r="R305" s="56"/>
      <c r="S305" s="56"/>
      <c r="T305" s="56"/>
      <c r="U305" s="56"/>
      <c r="V305" s="56"/>
      <c r="W305" s="56"/>
      <c r="X305" s="56"/>
      <c r="Y305" s="53"/>
      <c r="Z305" s="53"/>
      <c r="AA305" s="53"/>
      <c r="AB305" s="53"/>
      <c r="AC305" s="53"/>
      <c r="AD305" s="53"/>
      <c r="AE305" s="53"/>
      <c r="AF305" s="53"/>
      <c r="AG305" s="53"/>
      <c r="AH305" s="53"/>
      <c r="AI305" s="53"/>
      <c r="AJ305" s="53"/>
      <c r="AK305" s="53"/>
      <c r="AL305" s="53"/>
    </row>
    <row r="306" spans="3:38" x14ac:dyDescent="0.25">
      <c r="C306" s="56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  <c r="O306" s="56"/>
      <c r="P306" s="56"/>
      <c r="Q306" s="56"/>
      <c r="R306" s="56"/>
      <c r="S306" s="56"/>
      <c r="T306" s="56"/>
      <c r="U306" s="56"/>
      <c r="V306" s="56"/>
      <c r="W306" s="56"/>
      <c r="X306" s="56"/>
      <c r="Y306" s="53"/>
      <c r="Z306" s="53"/>
      <c r="AA306" s="53"/>
      <c r="AB306" s="53"/>
      <c r="AC306" s="53"/>
      <c r="AD306" s="53"/>
      <c r="AE306" s="53"/>
      <c r="AF306" s="53"/>
      <c r="AG306" s="53"/>
      <c r="AH306" s="53"/>
      <c r="AI306" s="53"/>
      <c r="AJ306" s="53"/>
      <c r="AK306" s="53"/>
      <c r="AL306" s="53"/>
    </row>
    <row r="307" spans="3:38" x14ac:dyDescent="0.25">
      <c r="C307" s="56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  <c r="O307" s="56"/>
      <c r="P307" s="56"/>
      <c r="Q307" s="56"/>
      <c r="R307" s="56"/>
      <c r="S307" s="56"/>
      <c r="T307" s="56"/>
      <c r="U307" s="56"/>
      <c r="V307" s="56"/>
      <c r="W307" s="56"/>
      <c r="X307" s="56"/>
      <c r="Y307" s="53"/>
      <c r="Z307" s="53"/>
      <c r="AA307" s="53"/>
      <c r="AB307" s="53"/>
      <c r="AC307" s="53"/>
      <c r="AD307" s="53"/>
      <c r="AE307" s="53"/>
      <c r="AF307" s="53"/>
      <c r="AG307" s="53"/>
      <c r="AH307" s="53"/>
      <c r="AI307" s="53"/>
      <c r="AJ307" s="53"/>
      <c r="AK307" s="53"/>
      <c r="AL307" s="53"/>
    </row>
    <row r="308" spans="3:38" x14ac:dyDescent="0.25">
      <c r="C308" s="56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  <c r="O308" s="56"/>
      <c r="P308" s="56"/>
      <c r="Q308" s="56"/>
      <c r="R308" s="56"/>
      <c r="S308" s="56"/>
      <c r="T308" s="56"/>
      <c r="U308" s="56"/>
      <c r="V308" s="56"/>
      <c r="W308" s="56"/>
      <c r="X308" s="56"/>
      <c r="Y308" s="53"/>
      <c r="Z308" s="53"/>
      <c r="AA308" s="53"/>
      <c r="AB308" s="53"/>
      <c r="AC308" s="53"/>
      <c r="AD308" s="53"/>
      <c r="AE308" s="53"/>
      <c r="AF308" s="53"/>
      <c r="AG308" s="53"/>
      <c r="AH308" s="53"/>
      <c r="AI308" s="53"/>
      <c r="AJ308" s="53"/>
      <c r="AK308" s="53"/>
      <c r="AL308" s="53"/>
    </row>
    <row r="309" spans="3:38" x14ac:dyDescent="0.25">
      <c r="C309" s="56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  <c r="O309" s="56"/>
      <c r="P309" s="56"/>
      <c r="Q309" s="56"/>
      <c r="R309" s="56"/>
      <c r="S309" s="56"/>
      <c r="T309" s="56"/>
      <c r="U309" s="56"/>
      <c r="V309" s="56"/>
      <c r="W309" s="56"/>
      <c r="X309" s="56"/>
      <c r="Y309" s="53"/>
      <c r="Z309" s="53"/>
      <c r="AA309" s="53"/>
      <c r="AB309" s="53"/>
      <c r="AC309" s="53"/>
      <c r="AD309" s="53"/>
      <c r="AE309" s="53"/>
      <c r="AF309" s="53"/>
      <c r="AG309" s="53"/>
      <c r="AH309" s="53"/>
      <c r="AI309" s="53"/>
      <c r="AJ309" s="53"/>
      <c r="AK309" s="53"/>
      <c r="AL309" s="53"/>
    </row>
    <row r="310" spans="3:38" x14ac:dyDescent="0.25">
      <c r="C310" s="56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  <c r="O310" s="56"/>
      <c r="P310" s="56"/>
      <c r="Q310" s="56"/>
      <c r="R310" s="56"/>
      <c r="S310" s="56"/>
      <c r="T310" s="56"/>
      <c r="U310" s="56"/>
      <c r="V310" s="56"/>
      <c r="W310" s="56"/>
      <c r="X310" s="56"/>
      <c r="Y310" s="53"/>
      <c r="Z310" s="53"/>
      <c r="AA310" s="53"/>
      <c r="AB310" s="53"/>
      <c r="AC310" s="53"/>
      <c r="AD310" s="53"/>
      <c r="AE310" s="53"/>
      <c r="AF310" s="53"/>
      <c r="AG310" s="53"/>
      <c r="AH310" s="53"/>
      <c r="AI310" s="53"/>
      <c r="AJ310" s="53"/>
      <c r="AK310" s="53"/>
      <c r="AL310" s="53"/>
    </row>
    <row r="311" spans="3:38" x14ac:dyDescent="0.25">
      <c r="C311" s="56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  <c r="O311" s="56"/>
      <c r="P311" s="56"/>
      <c r="Q311" s="56"/>
      <c r="R311" s="56"/>
      <c r="S311" s="56"/>
      <c r="T311" s="56"/>
      <c r="U311" s="56"/>
      <c r="V311" s="56"/>
      <c r="W311" s="56"/>
      <c r="X311" s="56"/>
      <c r="Y311" s="53"/>
      <c r="Z311" s="53"/>
      <c r="AA311" s="53"/>
      <c r="AB311" s="53"/>
      <c r="AC311" s="53"/>
      <c r="AD311" s="53"/>
      <c r="AE311" s="53"/>
      <c r="AF311" s="53"/>
      <c r="AG311" s="53"/>
      <c r="AH311" s="53"/>
      <c r="AI311" s="53"/>
      <c r="AJ311" s="53"/>
      <c r="AK311" s="53"/>
      <c r="AL311" s="53"/>
    </row>
    <row r="312" spans="3:38" x14ac:dyDescent="0.25">
      <c r="C312" s="56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  <c r="O312" s="56"/>
      <c r="P312" s="56"/>
      <c r="Q312" s="56"/>
      <c r="R312" s="56"/>
      <c r="S312" s="56"/>
      <c r="T312" s="56"/>
      <c r="U312" s="56"/>
      <c r="V312" s="56"/>
      <c r="W312" s="56"/>
      <c r="X312" s="56"/>
      <c r="Y312" s="53"/>
      <c r="Z312" s="53"/>
      <c r="AA312" s="53"/>
      <c r="AB312" s="53"/>
      <c r="AC312" s="53"/>
      <c r="AD312" s="53"/>
      <c r="AE312" s="53"/>
      <c r="AF312" s="53"/>
      <c r="AG312" s="53"/>
      <c r="AH312" s="53"/>
      <c r="AI312" s="53"/>
      <c r="AJ312" s="53"/>
      <c r="AK312" s="53"/>
      <c r="AL312" s="53"/>
    </row>
    <row r="313" spans="3:38" x14ac:dyDescent="0.25">
      <c r="C313" s="56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  <c r="O313" s="56"/>
      <c r="P313" s="56"/>
      <c r="Q313" s="56"/>
      <c r="R313" s="56"/>
      <c r="S313" s="56"/>
      <c r="T313" s="56"/>
      <c r="U313" s="56"/>
      <c r="V313" s="56"/>
      <c r="W313" s="56"/>
      <c r="X313" s="56"/>
      <c r="Y313" s="53"/>
      <c r="Z313" s="53"/>
      <c r="AA313" s="53"/>
      <c r="AB313" s="53"/>
      <c r="AC313" s="53"/>
      <c r="AD313" s="53"/>
      <c r="AE313" s="53"/>
      <c r="AF313" s="53"/>
      <c r="AG313" s="53"/>
      <c r="AH313" s="53"/>
      <c r="AI313" s="53"/>
      <c r="AJ313" s="53"/>
      <c r="AK313" s="53"/>
      <c r="AL313" s="53"/>
    </row>
    <row r="314" spans="3:38" x14ac:dyDescent="0.25">
      <c r="C314" s="56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  <c r="O314" s="56"/>
      <c r="P314" s="56"/>
      <c r="Q314" s="56"/>
      <c r="R314" s="56"/>
      <c r="S314" s="56"/>
      <c r="T314" s="56"/>
      <c r="U314" s="56"/>
      <c r="V314" s="56"/>
      <c r="W314" s="56"/>
      <c r="X314" s="56"/>
      <c r="Y314" s="53"/>
      <c r="Z314" s="53"/>
      <c r="AA314" s="53"/>
      <c r="AB314" s="53"/>
      <c r="AC314" s="53"/>
      <c r="AD314" s="53"/>
      <c r="AE314" s="53"/>
      <c r="AF314" s="53"/>
      <c r="AG314" s="53"/>
      <c r="AH314" s="53"/>
      <c r="AI314" s="53"/>
      <c r="AJ314" s="53"/>
      <c r="AK314" s="53"/>
      <c r="AL314" s="53"/>
    </row>
    <row r="315" spans="3:38" x14ac:dyDescent="0.25">
      <c r="C315" s="56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  <c r="O315" s="56"/>
      <c r="P315" s="56"/>
      <c r="Q315" s="56"/>
      <c r="R315" s="56"/>
      <c r="S315" s="56"/>
      <c r="T315" s="56"/>
      <c r="U315" s="56"/>
      <c r="V315" s="56"/>
      <c r="W315" s="56"/>
      <c r="X315" s="56"/>
      <c r="Y315" s="53"/>
      <c r="Z315" s="53"/>
      <c r="AA315" s="53"/>
      <c r="AB315" s="53"/>
      <c r="AC315" s="53"/>
      <c r="AD315" s="53"/>
      <c r="AE315" s="53"/>
      <c r="AF315" s="53"/>
      <c r="AG315" s="53"/>
      <c r="AH315" s="53"/>
      <c r="AI315" s="53"/>
      <c r="AJ315" s="53"/>
      <c r="AK315" s="53"/>
      <c r="AL315" s="53"/>
    </row>
    <row r="316" spans="3:38" x14ac:dyDescent="0.25">
      <c r="C316" s="56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  <c r="O316" s="56"/>
      <c r="P316" s="56"/>
      <c r="Q316" s="56"/>
      <c r="R316" s="56"/>
      <c r="S316" s="56"/>
      <c r="T316" s="56"/>
      <c r="U316" s="56"/>
      <c r="V316" s="56"/>
      <c r="W316" s="56"/>
      <c r="X316" s="56"/>
      <c r="Y316" s="53"/>
      <c r="Z316" s="53"/>
      <c r="AA316" s="53"/>
      <c r="AB316" s="53"/>
      <c r="AC316" s="53"/>
      <c r="AD316" s="53"/>
      <c r="AE316" s="53"/>
      <c r="AF316" s="53"/>
      <c r="AG316" s="53"/>
      <c r="AH316" s="53"/>
      <c r="AI316" s="53"/>
      <c r="AJ316" s="53"/>
      <c r="AK316" s="53"/>
      <c r="AL316" s="53"/>
    </row>
    <row r="317" spans="3:38" x14ac:dyDescent="0.25">
      <c r="C317" s="56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  <c r="O317" s="56"/>
      <c r="P317" s="56"/>
      <c r="Q317" s="56"/>
      <c r="R317" s="56"/>
      <c r="S317" s="56"/>
      <c r="T317" s="56"/>
      <c r="U317" s="56"/>
      <c r="V317" s="56"/>
      <c r="W317" s="56"/>
      <c r="X317" s="56"/>
      <c r="Y317" s="53"/>
      <c r="Z317" s="53"/>
      <c r="AA317" s="53"/>
      <c r="AB317" s="53"/>
      <c r="AC317" s="53"/>
      <c r="AD317" s="53"/>
      <c r="AE317" s="53"/>
      <c r="AF317" s="53"/>
      <c r="AG317" s="53"/>
      <c r="AH317" s="53"/>
      <c r="AI317" s="53"/>
      <c r="AJ317" s="53"/>
      <c r="AK317" s="53"/>
      <c r="AL317" s="53"/>
    </row>
    <row r="318" spans="3:38" x14ac:dyDescent="0.25">
      <c r="C318" s="56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  <c r="O318" s="56"/>
      <c r="P318" s="56"/>
      <c r="Q318" s="56"/>
      <c r="R318" s="56"/>
      <c r="S318" s="56"/>
      <c r="T318" s="56"/>
      <c r="U318" s="56"/>
      <c r="V318" s="56"/>
      <c r="W318" s="56"/>
      <c r="X318" s="56"/>
      <c r="Y318" s="53"/>
      <c r="Z318" s="53"/>
      <c r="AA318" s="53"/>
      <c r="AB318" s="53"/>
      <c r="AC318" s="53"/>
      <c r="AD318" s="53"/>
      <c r="AE318" s="53"/>
      <c r="AF318" s="53"/>
      <c r="AG318" s="53"/>
      <c r="AH318" s="53"/>
      <c r="AI318" s="53"/>
      <c r="AJ318" s="53"/>
      <c r="AK318" s="53"/>
      <c r="AL318" s="53"/>
    </row>
    <row r="319" spans="3:38" x14ac:dyDescent="0.25">
      <c r="C319" s="56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  <c r="O319" s="56"/>
      <c r="P319" s="56"/>
      <c r="Q319" s="56"/>
      <c r="R319" s="56"/>
      <c r="S319" s="56"/>
      <c r="T319" s="56"/>
      <c r="U319" s="56"/>
      <c r="V319" s="56"/>
      <c r="W319" s="56"/>
      <c r="X319" s="56"/>
      <c r="Y319" s="53"/>
      <c r="Z319" s="53"/>
      <c r="AA319" s="53"/>
      <c r="AB319" s="53"/>
      <c r="AC319" s="53"/>
      <c r="AD319" s="53"/>
      <c r="AE319" s="53"/>
      <c r="AF319" s="53"/>
      <c r="AG319" s="53"/>
      <c r="AH319" s="53"/>
      <c r="AI319" s="53"/>
      <c r="AJ319" s="53"/>
      <c r="AK319" s="53"/>
      <c r="AL319" s="53"/>
    </row>
    <row r="320" spans="3:38" x14ac:dyDescent="0.25">
      <c r="C320" s="56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  <c r="O320" s="56"/>
      <c r="P320" s="56"/>
      <c r="Q320" s="56"/>
      <c r="R320" s="56"/>
      <c r="S320" s="56"/>
      <c r="T320" s="56"/>
      <c r="U320" s="56"/>
      <c r="V320" s="56"/>
      <c r="W320" s="56"/>
      <c r="X320" s="56"/>
      <c r="Y320" s="53"/>
      <c r="Z320" s="53"/>
      <c r="AA320" s="53"/>
      <c r="AB320" s="53"/>
      <c r="AC320" s="53"/>
      <c r="AD320" s="53"/>
      <c r="AE320" s="53"/>
      <c r="AF320" s="53"/>
      <c r="AG320" s="53"/>
      <c r="AH320" s="53"/>
      <c r="AI320" s="53"/>
      <c r="AJ320" s="53"/>
      <c r="AK320" s="53"/>
      <c r="AL320" s="53"/>
    </row>
    <row r="321" spans="3:38" x14ac:dyDescent="0.25">
      <c r="C321" s="56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  <c r="O321" s="56"/>
      <c r="P321" s="56"/>
      <c r="Q321" s="56"/>
      <c r="R321" s="56"/>
      <c r="S321" s="56"/>
      <c r="T321" s="56"/>
      <c r="U321" s="56"/>
      <c r="V321" s="56"/>
      <c r="W321" s="56"/>
      <c r="X321" s="56"/>
      <c r="Y321" s="53"/>
      <c r="Z321" s="53"/>
      <c r="AA321" s="53"/>
      <c r="AB321" s="53"/>
      <c r="AC321" s="53"/>
      <c r="AD321" s="53"/>
      <c r="AE321" s="53"/>
      <c r="AF321" s="53"/>
      <c r="AG321" s="53"/>
      <c r="AH321" s="53"/>
      <c r="AI321" s="53"/>
      <c r="AJ321" s="53"/>
      <c r="AK321" s="53"/>
      <c r="AL321" s="53"/>
    </row>
    <row r="322" spans="3:38" x14ac:dyDescent="0.25">
      <c r="C322" s="56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  <c r="O322" s="56"/>
      <c r="P322" s="56"/>
      <c r="Q322" s="56"/>
      <c r="R322" s="56"/>
      <c r="S322" s="56"/>
      <c r="T322" s="56"/>
      <c r="U322" s="56"/>
      <c r="V322" s="56"/>
      <c r="W322" s="56"/>
      <c r="X322" s="56"/>
      <c r="Y322" s="53"/>
      <c r="Z322" s="53"/>
      <c r="AA322" s="53"/>
      <c r="AB322" s="53"/>
      <c r="AC322" s="53"/>
      <c r="AD322" s="53"/>
      <c r="AE322" s="53"/>
      <c r="AF322" s="53"/>
      <c r="AG322" s="53"/>
      <c r="AH322" s="53"/>
      <c r="AI322" s="53"/>
      <c r="AJ322" s="53"/>
      <c r="AK322" s="53"/>
      <c r="AL322" s="53"/>
    </row>
    <row r="323" spans="3:38" x14ac:dyDescent="0.25">
      <c r="C323" s="56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  <c r="O323" s="56"/>
      <c r="P323" s="56"/>
      <c r="Q323" s="56"/>
      <c r="R323" s="56"/>
      <c r="S323" s="56"/>
      <c r="T323" s="56"/>
      <c r="U323" s="56"/>
      <c r="V323" s="56"/>
      <c r="W323" s="56"/>
      <c r="X323" s="56"/>
      <c r="Y323" s="53"/>
      <c r="Z323" s="53"/>
      <c r="AA323" s="53"/>
      <c r="AB323" s="53"/>
      <c r="AC323" s="53"/>
      <c r="AD323" s="53"/>
      <c r="AE323" s="53"/>
      <c r="AF323" s="53"/>
      <c r="AG323" s="53"/>
      <c r="AH323" s="53"/>
      <c r="AI323" s="53"/>
      <c r="AJ323" s="53"/>
      <c r="AK323" s="53"/>
      <c r="AL323" s="53"/>
    </row>
    <row r="324" spans="3:38" x14ac:dyDescent="0.25">
      <c r="C324" s="56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  <c r="O324" s="56"/>
      <c r="P324" s="56"/>
      <c r="Q324" s="56"/>
      <c r="R324" s="56"/>
      <c r="S324" s="56"/>
      <c r="T324" s="56"/>
      <c r="U324" s="56"/>
      <c r="V324" s="56"/>
      <c r="W324" s="56"/>
      <c r="X324" s="56"/>
      <c r="Y324" s="53"/>
      <c r="Z324" s="53"/>
      <c r="AA324" s="53"/>
      <c r="AB324" s="53"/>
      <c r="AC324" s="53"/>
      <c r="AD324" s="53"/>
      <c r="AE324" s="53"/>
      <c r="AF324" s="53"/>
      <c r="AG324" s="53"/>
      <c r="AH324" s="53"/>
      <c r="AI324" s="53"/>
      <c r="AJ324" s="53"/>
      <c r="AK324" s="53"/>
      <c r="AL324" s="53"/>
    </row>
    <row r="325" spans="3:38" x14ac:dyDescent="0.25">
      <c r="C325" s="56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  <c r="O325" s="56"/>
      <c r="P325" s="56"/>
      <c r="Q325" s="56"/>
      <c r="R325" s="56"/>
      <c r="S325" s="56"/>
      <c r="T325" s="56"/>
      <c r="U325" s="56"/>
      <c r="V325" s="56"/>
      <c r="W325" s="56"/>
      <c r="X325" s="56"/>
      <c r="Y325" s="53"/>
      <c r="Z325" s="53"/>
      <c r="AA325" s="53"/>
      <c r="AB325" s="53"/>
      <c r="AC325" s="53"/>
      <c r="AD325" s="53"/>
      <c r="AE325" s="53"/>
      <c r="AF325" s="53"/>
      <c r="AG325" s="53"/>
      <c r="AH325" s="53"/>
      <c r="AI325" s="53"/>
      <c r="AJ325" s="53"/>
      <c r="AK325" s="53"/>
      <c r="AL325" s="53"/>
    </row>
    <row r="326" spans="3:38" x14ac:dyDescent="0.25">
      <c r="C326" s="56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  <c r="O326" s="56"/>
      <c r="P326" s="56"/>
      <c r="Q326" s="56"/>
      <c r="R326" s="56"/>
      <c r="S326" s="56"/>
      <c r="T326" s="56"/>
      <c r="U326" s="56"/>
      <c r="V326" s="56"/>
      <c r="W326" s="56"/>
      <c r="X326" s="56"/>
      <c r="Y326" s="53"/>
      <c r="Z326" s="53"/>
      <c r="AA326" s="53"/>
      <c r="AB326" s="53"/>
      <c r="AC326" s="53"/>
      <c r="AD326" s="53"/>
      <c r="AE326" s="53"/>
      <c r="AF326" s="53"/>
      <c r="AG326" s="53"/>
      <c r="AH326" s="53"/>
      <c r="AI326" s="53"/>
      <c r="AJ326" s="53"/>
      <c r="AK326" s="53"/>
      <c r="AL326" s="53"/>
    </row>
    <row r="327" spans="3:38" x14ac:dyDescent="0.25">
      <c r="C327" s="56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  <c r="O327" s="56"/>
      <c r="P327" s="56"/>
      <c r="Q327" s="56"/>
      <c r="R327" s="56"/>
      <c r="S327" s="56"/>
      <c r="T327" s="56"/>
      <c r="U327" s="56"/>
      <c r="V327" s="56"/>
      <c r="W327" s="56"/>
      <c r="X327" s="56"/>
      <c r="Y327" s="53"/>
      <c r="Z327" s="53"/>
      <c r="AA327" s="53"/>
      <c r="AB327" s="53"/>
      <c r="AC327" s="53"/>
      <c r="AD327" s="53"/>
      <c r="AE327" s="53"/>
      <c r="AF327" s="53"/>
      <c r="AG327" s="53"/>
      <c r="AH327" s="53"/>
      <c r="AI327" s="53"/>
      <c r="AJ327" s="53"/>
      <c r="AK327" s="53"/>
      <c r="AL327" s="53"/>
    </row>
    <row r="328" spans="3:38" x14ac:dyDescent="0.25">
      <c r="C328" s="56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  <c r="O328" s="56"/>
      <c r="P328" s="56"/>
      <c r="Q328" s="56"/>
      <c r="R328" s="56"/>
      <c r="S328" s="56"/>
      <c r="T328" s="56"/>
      <c r="U328" s="56"/>
      <c r="V328" s="56"/>
      <c r="W328" s="56"/>
      <c r="X328" s="56"/>
      <c r="Y328" s="53"/>
      <c r="Z328" s="53"/>
      <c r="AA328" s="53"/>
      <c r="AB328" s="53"/>
      <c r="AC328" s="53"/>
      <c r="AD328" s="53"/>
      <c r="AE328" s="53"/>
      <c r="AF328" s="53"/>
      <c r="AG328" s="53"/>
      <c r="AH328" s="53"/>
      <c r="AI328" s="53"/>
      <c r="AJ328" s="53"/>
      <c r="AK328" s="53"/>
      <c r="AL328" s="53"/>
    </row>
    <row r="329" spans="3:38" x14ac:dyDescent="0.25">
      <c r="C329" s="56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  <c r="O329" s="56"/>
      <c r="P329" s="56"/>
      <c r="Q329" s="56"/>
      <c r="R329" s="56"/>
      <c r="S329" s="56"/>
      <c r="T329" s="56"/>
      <c r="U329" s="56"/>
      <c r="V329" s="56"/>
      <c r="W329" s="56"/>
      <c r="X329" s="56"/>
      <c r="Y329" s="53"/>
      <c r="Z329" s="53"/>
      <c r="AA329" s="53"/>
      <c r="AB329" s="53"/>
      <c r="AC329" s="53"/>
      <c r="AD329" s="53"/>
      <c r="AE329" s="53"/>
      <c r="AF329" s="53"/>
      <c r="AG329" s="53"/>
      <c r="AH329" s="53"/>
      <c r="AI329" s="53"/>
      <c r="AJ329" s="53"/>
      <c r="AK329" s="53"/>
      <c r="AL329" s="53"/>
    </row>
    <row r="330" spans="3:38" x14ac:dyDescent="0.25">
      <c r="C330" s="56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  <c r="O330" s="56"/>
      <c r="P330" s="56"/>
      <c r="Q330" s="56"/>
      <c r="R330" s="56"/>
      <c r="S330" s="56"/>
      <c r="T330" s="56"/>
      <c r="U330" s="56"/>
      <c r="V330" s="56"/>
      <c r="W330" s="56"/>
      <c r="X330" s="56"/>
      <c r="Y330" s="53"/>
      <c r="Z330" s="53"/>
      <c r="AA330" s="53"/>
      <c r="AB330" s="53"/>
      <c r="AC330" s="53"/>
      <c r="AD330" s="53"/>
      <c r="AE330" s="53"/>
      <c r="AF330" s="53"/>
      <c r="AG330" s="53"/>
      <c r="AH330" s="53"/>
      <c r="AI330" s="53"/>
      <c r="AJ330" s="53"/>
      <c r="AK330" s="53"/>
      <c r="AL330" s="53"/>
    </row>
    <row r="331" spans="3:38" x14ac:dyDescent="0.25">
      <c r="C331" s="56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  <c r="O331" s="56"/>
      <c r="P331" s="56"/>
      <c r="Q331" s="56"/>
      <c r="R331" s="56"/>
      <c r="S331" s="56"/>
      <c r="T331" s="56"/>
      <c r="U331" s="56"/>
      <c r="V331" s="56"/>
      <c r="W331" s="56"/>
      <c r="X331" s="56"/>
      <c r="Y331" s="53"/>
      <c r="Z331" s="53"/>
      <c r="AA331" s="53"/>
      <c r="AB331" s="53"/>
      <c r="AC331" s="53"/>
      <c r="AD331" s="53"/>
      <c r="AE331" s="53"/>
      <c r="AF331" s="53"/>
      <c r="AG331" s="53"/>
      <c r="AH331" s="53"/>
      <c r="AI331" s="53"/>
      <c r="AJ331" s="53"/>
      <c r="AK331" s="53"/>
      <c r="AL331" s="53"/>
    </row>
    <row r="332" spans="3:38" x14ac:dyDescent="0.25">
      <c r="C332" s="56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  <c r="O332" s="56"/>
      <c r="P332" s="56"/>
      <c r="Q332" s="56"/>
      <c r="R332" s="56"/>
      <c r="S332" s="56"/>
      <c r="T332" s="56"/>
      <c r="U332" s="56"/>
      <c r="V332" s="56"/>
      <c r="W332" s="56"/>
      <c r="X332" s="56"/>
      <c r="Y332" s="53"/>
      <c r="Z332" s="53"/>
      <c r="AA332" s="53"/>
      <c r="AB332" s="53"/>
      <c r="AC332" s="53"/>
      <c r="AD332" s="53"/>
      <c r="AE332" s="53"/>
      <c r="AF332" s="53"/>
      <c r="AG332" s="53"/>
      <c r="AH332" s="53"/>
      <c r="AI332" s="53"/>
      <c r="AJ332" s="53"/>
      <c r="AK332" s="53"/>
      <c r="AL332" s="53"/>
    </row>
    <row r="333" spans="3:38" x14ac:dyDescent="0.25">
      <c r="C333" s="56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  <c r="O333" s="56"/>
      <c r="P333" s="56"/>
      <c r="Q333" s="56"/>
      <c r="R333" s="56"/>
      <c r="S333" s="56"/>
      <c r="T333" s="56"/>
      <c r="U333" s="56"/>
      <c r="V333" s="56"/>
      <c r="W333" s="56"/>
      <c r="X333" s="56"/>
      <c r="Y333" s="53"/>
      <c r="Z333" s="53"/>
      <c r="AA333" s="53"/>
      <c r="AB333" s="53"/>
      <c r="AC333" s="53"/>
      <c r="AD333" s="53"/>
      <c r="AE333" s="53"/>
      <c r="AF333" s="53"/>
      <c r="AG333" s="53"/>
      <c r="AH333" s="53"/>
      <c r="AI333" s="53"/>
      <c r="AJ333" s="53"/>
      <c r="AK333" s="53"/>
      <c r="AL333" s="53"/>
    </row>
    <row r="334" spans="3:38" x14ac:dyDescent="0.25">
      <c r="C334" s="56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  <c r="O334" s="56"/>
      <c r="P334" s="56"/>
      <c r="Q334" s="56"/>
      <c r="R334" s="56"/>
      <c r="S334" s="56"/>
      <c r="T334" s="56"/>
      <c r="U334" s="56"/>
      <c r="V334" s="56"/>
      <c r="W334" s="56"/>
      <c r="X334" s="56"/>
      <c r="Y334" s="53"/>
      <c r="Z334" s="53"/>
      <c r="AA334" s="53"/>
      <c r="AB334" s="53"/>
      <c r="AC334" s="53"/>
      <c r="AD334" s="53"/>
      <c r="AE334" s="53"/>
      <c r="AF334" s="53"/>
      <c r="AG334" s="53"/>
      <c r="AH334" s="53"/>
      <c r="AI334" s="53"/>
      <c r="AJ334" s="53"/>
      <c r="AK334" s="53"/>
      <c r="AL334" s="53"/>
    </row>
    <row r="335" spans="3:38" x14ac:dyDescent="0.25">
      <c r="C335" s="56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  <c r="O335" s="56"/>
      <c r="P335" s="56"/>
      <c r="Q335" s="56"/>
      <c r="R335" s="56"/>
      <c r="S335" s="56"/>
      <c r="T335" s="56"/>
      <c r="U335" s="56"/>
      <c r="V335" s="56"/>
      <c r="W335" s="56"/>
      <c r="X335" s="56"/>
      <c r="Y335" s="53"/>
      <c r="Z335" s="53"/>
      <c r="AA335" s="53"/>
      <c r="AB335" s="53"/>
      <c r="AC335" s="53"/>
      <c r="AD335" s="53"/>
      <c r="AE335" s="53"/>
      <c r="AF335" s="53"/>
      <c r="AG335" s="53"/>
      <c r="AH335" s="53"/>
      <c r="AI335" s="53"/>
      <c r="AJ335" s="53"/>
      <c r="AK335" s="53"/>
      <c r="AL335" s="53"/>
    </row>
    <row r="336" spans="3:38" x14ac:dyDescent="0.25">
      <c r="C336" s="56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  <c r="O336" s="56"/>
      <c r="P336" s="56"/>
      <c r="Q336" s="56"/>
      <c r="R336" s="56"/>
      <c r="S336" s="56"/>
      <c r="T336" s="56"/>
      <c r="U336" s="56"/>
      <c r="V336" s="56"/>
      <c r="W336" s="56"/>
      <c r="X336" s="56"/>
      <c r="Y336" s="53"/>
      <c r="Z336" s="53"/>
      <c r="AA336" s="53"/>
      <c r="AB336" s="53"/>
      <c r="AC336" s="53"/>
      <c r="AD336" s="53"/>
      <c r="AE336" s="53"/>
      <c r="AF336" s="53"/>
      <c r="AG336" s="53"/>
      <c r="AH336" s="53"/>
      <c r="AI336" s="53"/>
      <c r="AJ336" s="53"/>
      <c r="AK336" s="53"/>
      <c r="AL336" s="53"/>
    </row>
    <row r="337" spans="3:38" x14ac:dyDescent="0.25">
      <c r="C337" s="56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  <c r="O337" s="56"/>
      <c r="P337" s="56"/>
      <c r="Q337" s="56"/>
      <c r="R337" s="56"/>
      <c r="S337" s="56"/>
      <c r="T337" s="56"/>
      <c r="U337" s="56"/>
      <c r="V337" s="56"/>
      <c r="W337" s="56"/>
      <c r="X337" s="56"/>
      <c r="Y337" s="53"/>
      <c r="Z337" s="53"/>
      <c r="AA337" s="53"/>
      <c r="AB337" s="53"/>
      <c r="AC337" s="53"/>
      <c r="AD337" s="53"/>
      <c r="AE337" s="53"/>
      <c r="AF337" s="53"/>
      <c r="AG337" s="53"/>
      <c r="AH337" s="53"/>
      <c r="AI337" s="53"/>
      <c r="AJ337" s="53"/>
      <c r="AK337" s="53"/>
      <c r="AL337" s="53"/>
    </row>
    <row r="338" spans="3:38" x14ac:dyDescent="0.25">
      <c r="C338" s="56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  <c r="O338" s="56"/>
      <c r="P338" s="56"/>
      <c r="Q338" s="56"/>
      <c r="R338" s="56"/>
      <c r="S338" s="56"/>
      <c r="T338" s="56"/>
      <c r="U338" s="56"/>
      <c r="V338" s="56"/>
      <c r="W338" s="56"/>
      <c r="X338" s="56"/>
      <c r="Y338" s="53"/>
      <c r="Z338" s="53"/>
      <c r="AA338" s="53"/>
      <c r="AB338" s="53"/>
      <c r="AC338" s="53"/>
      <c r="AD338" s="53"/>
      <c r="AE338" s="53"/>
      <c r="AF338" s="53"/>
      <c r="AG338" s="53"/>
      <c r="AH338" s="53"/>
      <c r="AI338" s="53"/>
      <c r="AJ338" s="53"/>
      <c r="AK338" s="53"/>
      <c r="AL338" s="53"/>
    </row>
    <row r="339" spans="3:38" x14ac:dyDescent="0.25">
      <c r="C339" s="56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  <c r="O339" s="56"/>
      <c r="P339" s="56"/>
      <c r="Q339" s="56"/>
      <c r="R339" s="56"/>
      <c r="S339" s="56"/>
      <c r="T339" s="56"/>
      <c r="U339" s="56"/>
      <c r="V339" s="56"/>
      <c r="W339" s="56"/>
      <c r="X339" s="56"/>
      <c r="Y339" s="53"/>
      <c r="Z339" s="53"/>
      <c r="AA339" s="53"/>
      <c r="AB339" s="53"/>
      <c r="AC339" s="53"/>
      <c r="AD339" s="53"/>
      <c r="AE339" s="53"/>
      <c r="AF339" s="53"/>
      <c r="AG339" s="53"/>
      <c r="AH339" s="53"/>
      <c r="AI339" s="53"/>
      <c r="AJ339" s="53"/>
      <c r="AK339" s="53"/>
      <c r="AL339" s="53"/>
    </row>
    <row r="340" spans="3:38" x14ac:dyDescent="0.25">
      <c r="C340" s="56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  <c r="O340" s="56"/>
      <c r="P340" s="56"/>
      <c r="Q340" s="56"/>
      <c r="R340" s="56"/>
      <c r="S340" s="56"/>
      <c r="T340" s="56"/>
      <c r="U340" s="56"/>
      <c r="V340" s="56"/>
      <c r="W340" s="56"/>
      <c r="X340" s="56"/>
      <c r="Y340" s="53"/>
      <c r="Z340" s="53"/>
      <c r="AA340" s="53"/>
      <c r="AB340" s="53"/>
      <c r="AC340" s="53"/>
      <c r="AD340" s="53"/>
      <c r="AE340" s="53"/>
      <c r="AF340" s="53"/>
      <c r="AG340" s="53"/>
      <c r="AH340" s="53"/>
      <c r="AI340" s="53"/>
      <c r="AJ340" s="53"/>
      <c r="AK340" s="53"/>
      <c r="AL340" s="53"/>
    </row>
    <row r="341" spans="3:38" x14ac:dyDescent="0.25">
      <c r="C341" s="56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  <c r="O341" s="56"/>
      <c r="P341" s="56"/>
      <c r="Q341" s="56"/>
      <c r="R341" s="56"/>
      <c r="S341" s="56"/>
      <c r="T341" s="56"/>
      <c r="U341" s="56"/>
      <c r="V341" s="56"/>
      <c r="W341" s="56"/>
      <c r="X341" s="56"/>
      <c r="Y341" s="53"/>
      <c r="Z341" s="53"/>
      <c r="AA341" s="53"/>
      <c r="AB341" s="53"/>
      <c r="AC341" s="53"/>
      <c r="AD341" s="53"/>
      <c r="AE341" s="53"/>
      <c r="AF341" s="53"/>
      <c r="AG341" s="53"/>
      <c r="AH341" s="53"/>
      <c r="AI341" s="53"/>
      <c r="AJ341" s="53"/>
      <c r="AK341" s="53"/>
      <c r="AL341" s="53"/>
    </row>
    <row r="342" spans="3:38" x14ac:dyDescent="0.25">
      <c r="C342" s="56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  <c r="O342" s="56"/>
      <c r="P342" s="56"/>
      <c r="Q342" s="56"/>
      <c r="R342" s="56"/>
      <c r="S342" s="56"/>
      <c r="T342" s="56"/>
      <c r="U342" s="56"/>
      <c r="V342" s="56"/>
      <c r="W342" s="56"/>
      <c r="X342" s="56"/>
      <c r="Y342" s="53"/>
      <c r="Z342" s="53"/>
      <c r="AA342" s="53"/>
      <c r="AB342" s="53"/>
      <c r="AC342" s="53"/>
      <c r="AD342" s="53"/>
      <c r="AE342" s="53"/>
      <c r="AF342" s="53"/>
      <c r="AG342" s="53"/>
      <c r="AH342" s="53"/>
      <c r="AI342" s="53"/>
      <c r="AJ342" s="53"/>
      <c r="AK342" s="53"/>
      <c r="AL342" s="53"/>
    </row>
    <row r="343" spans="3:38" x14ac:dyDescent="0.25">
      <c r="C343" s="56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  <c r="O343" s="56"/>
      <c r="P343" s="56"/>
      <c r="Q343" s="56"/>
      <c r="R343" s="56"/>
      <c r="S343" s="56"/>
      <c r="T343" s="56"/>
      <c r="U343" s="56"/>
      <c r="V343" s="56"/>
      <c r="W343" s="56"/>
      <c r="X343" s="56"/>
      <c r="Y343" s="53"/>
      <c r="Z343" s="53"/>
      <c r="AA343" s="53"/>
      <c r="AB343" s="53"/>
      <c r="AC343" s="53"/>
      <c r="AD343" s="53"/>
      <c r="AE343" s="53"/>
      <c r="AF343" s="53"/>
      <c r="AG343" s="53"/>
      <c r="AH343" s="53"/>
      <c r="AI343" s="53"/>
      <c r="AJ343" s="53"/>
      <c r="AK343" s="53"/>
      <c r="AL343" s="53"/>
    </row>
    <row r="344" spans="3:38" x14ac:dyDescent="0.25">
      <c r="C344" s="56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  <c r="O344" s="56"/>
      <c r="P344" s="56"/>
      <c r="Q344" s="56"/>
      <c r="R344" s="56"/>
      <c r="S344" s="56"/>
      <c r="T344" s="56"/>
      <c r="U344" s="56"/>
      <c r="V344" s="56"/>
      <c r="W344" s="56"/>
      <c r="X344" s="56"/>
      <c r="Y344" s="53"/>
      <c r="Z344" s="53"/>
      <c r="AA344" s="53"/>
      <c r="AB344" s="53"/>
      <c r="AC344" s="53"/>
      <c r="AD344" s="53"/>
      <c r="AE344" s="53"/>
      <c r="AF344" s="53"/>
      <c r="AG344" s="53"/>
      <c r="AH344" s="53"/>
      <c r="AI344" s="53"/>
      <c r="AJ344" s="53"/>
      <c r="AK344" s="53"/>
      <c r="AL344" s="53"/>
    </row>
    <row r="345" spans="3:38" x14ac:dyDescent="0.25">
      <c r="C345" s="56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  <c r="O345" s="56"/>
      <c r="P345" s="56"/>
      <c r="Q345" s="56"/>
      <c r="R345" s="56"/>
      <c r="S345" s="56"/>
      <c r="T345" s="56"/>
      <c r="U345" s="56"/>
      <c r="V345" s="56"/>
      <c r="W345" s="56"/>
      <c r="X345" s="56"/>
      <c r="Y345" s="53"/>
      <c r="Z345" s="53"/>
      <c r="AA345" s="53"/>
      <c r="AB345" s="53"/>
      <c r="AC345" s="53"/>
      <c r="AD345" s="53"/>
      <c r="AE345" s="53"/>
      <c r="AF345" s="53"/>
      <c r="AG345" s="53"/>
      <c r="AH345" s="53"/>
      <c r="AI345" s="53"/>
      <c r="AJ345" s="53"/>
      <c r="AK345" s="53"/>
      <c r="AL345" s="53"/>
    </row>
    <row r="346" spans="3:38" x14ac:dyDescent="0.25">
      <c r="C346" s="56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  <c r="O346" s="56"/>
      <c r="P346" s="56"/>
      <c r="Q346" s="56"/>
      <c r="R346" s="56"/>
      <c r="S346" s="56"/>
      <c r="T346" s="56"/>
      <c r="U346" s="56"/>
      <c r="V346" s="56"/>
      <c r="W346" s="56"/>
      <c r="X346" s="56"/>
      <c r="Y346" s="53"/>
      <c r="Z346" s="53"/>
      <c r="AA346" s="53"/>
      <c r="AB346" s="53"/>
      <c r="AC346" s="53"/>
      <c r="AD346" s="53"/>
      <c r="AE346" s="53"/>
      <c r="AF346" s="53"/>
      <c r="AG346" s="53"/>
      <c r="AH346" s="53"/>
      <c r="AI346" s="53"/>
      <c r="AJ346" s="53"/>
      <c r="AK346" s="53"/>
      <c r="AL346" s="53"/>
    </row>
    <row r="347" spans="3:38" x14ac:dyDescent="0.25">
      <c r="C347" s="56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  <c r="O347" s="56"/>
      <c r="P347" s="56"/>
      <c r="Q347" s="56"/>
      <c r="R347" s="56"/>
      <c r="S347" s="56"/>
      <c r="T347" s="56"/>
      <c r="U347" s="56"/>
      <c r="V347" s="56"/>
      <c r="W347" s="56"/>
      <c r="X347" s="56"/>
      <c r="Y347" s="53"/>
      <c r="Z347" s="53"/>
      <c r="AA347" s="53"/>
      <c r="AB347" s="53"/>
      <c r="AC347" s="53"/>
      <c r="AD347" s="53"/>
      <c r="AE347" s="53"/>
      <c r="AF347" s="53"/>
      <c r="AG347" s="53"/>
      <c r="AH347" s="53"/>
      <c r="AI347" s="53"/>
      <c r="AJ347" s="53"/>
      <c r="AK347" s="53"/>
      <c r="AL347" s="53"/>
    </row>
    <row r="348" spans="3:38" x14ac:dyDescent="0.25">
      <c r="C348" s="56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  <c r="O348" s="56"/>
      <c r="P348" s="56"/>
      <c r="Q348" s="56"/>
      <c r="R348" s="56"/>
      <c r="S348" s="56"/>
      <c r="T348" s="56"/>
      <c r="U348" s="56"/>
      <c r="V348" s="56"/>
      <c r="W348" s="56"/>
      <c r="X348" s="56"/>
      <c r="Y348" s="53"/>
      <c r="Z348" s="53"/>
      <c r="AA348" s="53"/>
      <c r="AB348" s="53"/>
      <c r="AC348" s="53"/>
      <c r="AD348" s="53"/>
      <c r="AE348" s="53"/>
      <c r="AF348" s="53"/>
      <c r="AG348" s="53"/>
      <c r="AH348" s="53"/>
      <c r="AI348" s="53"/>
      <c r="AJ348" s="53"/>
      <c r="AK348" s="53"/>
      <c r="AL348" s="53"/>
    </row>
    <row r="349" spans="3:38" x14ac:dyDescent="0.25">
      <c r="C349" s="56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  <c r="O349" s="56"/>
      <c r="P349" s="56"/>
      <c r="Q349" s="56"/>
      <c r="R349" s="56"/>
      <c r="S349" s="56"/>
      <c r="T349" s="56"/>
      <c r="U349" s="56"/>
      <c r="V349" s="56"/>
      <c r="W349" s="56"/>
      <c r="X349" s="56"/>
      <c r="Y349" s="53"/>
      <c r="Z349" s="53"/>
      <c r="AA349" s="53"/>
      <c r="AB349" s="53"/>
      <c r="AC349" s="53"/>
      <c r="AD349" s="53"/>
      <c r="AE349" s="53"/>
      <c r="AF349" s="53"/>
      <c r="AG349" s="53"/>
      <c r="AH349" s="53"/>
      <c r="AI349" s="53"/>
      <c r="AJ349" s="53"/>
      <c r="AK349" s="53"/>
      <c r="AL349" s="53"/>
    </row>
    <row r="350" spans="3:38" x14ac:dyDescent="0.25">
      <c r="C350" s="56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  <c r="O350" s="56"/>
      <c r="P350" s="56"/>
      <c r="Q350" s="56"/>
      <c r="R350" s="56"/>
      <c r="S350" s="56"/>
      <c r="T350" s="56"/>
      <c r="U350" s="56"/>
      <c r="V350" s="56"/>
      <c r="W350" s="56"/>
      <c r="X350" s="56"/>
      <c r="Y350" s="53"/>
      <c r="Z350" s="53"/>
      <c r="AA350" s="53"/>
      <c r="AB350" s="53"/>
      <c r="AC350" s="53"/>
      <c r="AD350" s="53"/>
      <c r="AE350" s="53"/>
      <c r="AF350" s="53"/>
      <c r="AG350" s="53"/>
      <c r="AH350" s="53"/>
      <c r="AI350" s="53"/>
      <c r="AJ350" s="53"/>
      <c r="AK350" s="53"/>
      <c r="AL350" s="53"/>
    </row>
    <row r="351" spans="3:38" x14ac:dyDescent="0.25">
      <c r="C351" s="56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  <c r="O351" s="56"/>
      <c r="P351" s="56"/>
      <c r="Q351" s="56"/>
      <c r="R351" s="56"/>
      <c r="S351" s="56"/>
      <c r="T351" s="56"/>
      <c r="U351" s="56"/>
      <c r="V351" s="56"/>
      <c r="W351" s="56"/>
      <c r="X351" s="56"/>
      <c r="Y351" s="53"/>
      <c r="Z351" s="53"/>
      <c r="AA351" s="53"/>
      <c r="AB351" s="53"/>
      <c r="AC351" s="53"/>
      <c r="AD351" s="53"/>
      <c r="AE351" s="53"/>
      <c r="AF351" s="53"/>
      <c r="AG351" s="53"/>
      <c r="AH351" s="53"/>
      <c r="AI351" s="53"/>
      <c r="AJ351" s="53"/>
      <c r="AK351" s="53"/>
      <c r="AL351" s="53"/>
    </row>
    <row r="352" spans="3:38" x14ac:dyDescent="0.25">
      <c r="C352" s="56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  <c r="O352" s="56"/>
      <c r="P352" s="56"/>
      <c r="Q352" s="56"/>
      <c r="R352" s="56"/>
      <c r="S352" s="56"/>
      <c r="T352" s="56"/>
      <c r="U352" s="56"/>
      <c r="V352" s="56"/>
      <c r="W352" s="56"/>
      <c r="X352" s="56"/>
      <c r="Y352" s="53"/>
      <c r="Z352" s="53"/>
      <c r="AA352" s="53"/>
      <c r="AB352" s="53"/>
      <c r="AC352" s="53"/>
      <c r="AD352" s="53"/>
      <c r="AE352" s="53"/>
      <c r="AF352" s="53"/>
      <c r="AG352" s="53"/>
      <c r="AH352" s="53"/>
      <c r="AI352" s="53"/>
      <c r="AJ352" s="53"/>
      <c r="AK352" s="53"/>
      <c r="AL352" s="53"/>
    </row>
    <row r="353" spans="3:38" x14ac:dyDescent="0.25">
      <c r="C353" s="56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  <c r="O353" s="56"/>
      <c r="P353" s="56"/>
      <c r="Q353" s="56"/>
      <c r="R353" s="56"/>
      <c r="S353" s="56"/>
      <c r="T353" s="56"/>
      <c r="U353" s="56"/>
      <c r="V353" s="56"/>
      <c r="W353" s="56"/>
      <c r="X353" s="56"/>
      <c r="Y353" s="53"/>
      <c r="Z353" s="53"/>
      <c r="AA353" s="53"/>
      <c r="AB353" s="53"/>
      <c r="AC353" s="53"/>
      <c r="AD353" s="53"/>
      <c r="AE353" s="53"/>
      <c r="AF353" s="53"/>
      <c r="AG353" s="53"/>
      <c r="AH353" s="53"/>
      <c r="AI353" s="53"/>
      <c r="AJ353" s="53"/>
      <c r="AK353" s="53"/>
      <c r="AL353" s="53"/>
    </row>
    <row r="354" spans="3:38" x14ac:dyDescent="0.25">
      <c r="C354" s="56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  <c r="O354" s="56"/>
      <c r="P354" s="56"/>
      <c r="Q354" s="56"/>
      <c r="R354" s="56"/>
      <c r="S354" s="56"/>
      <c r="T354" s="56"/>
      <c r="U354" s="56"/>
      <c r="V354" s="56"/>
      <c r="W354" s="56"/>
      <c r="X354" s="56"/>
      <c r="Y354" s="53"/>
      <c r="Z354" s="53"/>
      <c r="AA354" s="53"/>
      <c r="AB354" s="53"/>
      <c r="AC354" s="53"/>
      <c r="AD354" s="53"/>
      <c r="AE354" s="53"/>
      <c r="AF354" s="53"/>
      <c r="AG354" s="53"/>
      <c r="AH354" s="53"/>
      <c r="AI354" s="53"/>
      <c r="AJ354" s="53"/>
      <c r="AK354" s="53"/>
      <c r="AL354" s="53"/>
    </row>
    <row r="355" spans="3:38" x14ac:dyDescent="0.25">
      <c r="C355" s="56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  <c r="O355" s="56"/>
      <c r="P355" s="56"/>
      <c r="Q355" s="56"/>
      <c r="R355" s="56"/>
      <c r="S355" s="56"/>
      <c r="T355" s="56"/>
      <c r="U355" s="56"/>
      <c r="V355" s="56"/>
      <c r="W355" s="56"/>
      <c r="X355" s="56"/>
      <c r="Y355" s="53"/>
      <c r="Z355" s="53"/>
      <c r="AA355" s="53"/>
      <c r="AB355" s="53"/>
      <c r="AC355" s="53"/>
      <c r="AD355" s="53"/>
      <c r="AE355" s="53"/>
      <c r="AF355" s="53"/>
      <c r="AG355" s="53"/>
      <c r="AH355" s="53"/>
      <c r="AI355" s="53"/>
      <c r="AJ355" s="53"/>
      <c r="AK355" s="53"/>
      <c r="AL355" s="53"/>
    </row>
    <row r="356" spans="3:38" x14ac:dyDescent="0.25">
      <c r="C356" s="56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  <c r="O356" s="56"/>
      <c r="P356" s="56"/>
      <c r="Q356" s="56"/>
      <c r="R356" s="56"/>
      <c r="S356" s="56"/>
      <c r="T356" s="56"/>
      <c r="U356" s="56"/>
      <c r="V356" s="56"/>
      <c r="W356" s="56"/>
      <c r="X356" s="56"/>
      <c r="Y356" s="53"/>
      <c r="Z356" s="53"/>
      <c r="AA356" s="53"/>
      <c r="AB356" s="53"/>
      <c r="AC356" s="53"/>
      <c r="AD356" s="53"/>
      <c r="AE356" s="53"/>
      <c r="AF356" s="53"/>
      <c r="AG356" s="53"/>
      <c r="AH356" s="53"/>
      <c r="AI356" s="53"/>
      <c r="AJ356" s="53"/>
      <c r="AK356" s="53"/>
      <c r="AL356" s="53"/>
    </row>
    <row r="357" spans="3:38" x14ac:dyDescent="0.25">
      <c r="C357" s="56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  <c r="O357" s="56"/>
      <c r="P357" s="56"/>
      <c r="Q357" s="56"/>
      <c r="R357" s="56"/>
      <c r="S357" s="56"/>
      <c r="T357" s="56"/>
      <c r="U357" s="56"/>
      <c r="V357" s="56"/>
      <c r="W357" s="56"/>
      <c r="X357" s="56"/>
      <c r="Y357" s="53"/>
      <c r="Z357" s="53"/>
      <c r="AA357" s="53"/>
      <c r="AB357" s="53"/>
      <c r="AC357" s="53"/>
      <c r="AD357" s="53"/>
      <c r="AE357" s="53"/>
      <c r="AF357" s="53"/>
      <c r="AG357" s="53"/>
      <c r="AH357" s="53"/>
      <c r="AI357" s="53"/>
      <c r="AJ357" s="53"/>
      <c r="AK357" s="53"/>
      <c r="AL357" s="53"/>
    </row>
    <row r="391" spans="1:42" s="5" customFormat="1" x14ac:dyDescent="0.25">
      <c r="A391" s="53"/>
      <c r="B391" s="53"/>
      <c r="C391" s="55"/>
      <c r="D391" s="55"/>
      <c r="E391" s="55"/>
      <c r="F391" s="55"/>
      <c r="G391" s="55"/>
      <c r="H391" s="55"/>
      <c r="I391" s="55"/>
      <c r="J391" s="55"/>
      <c r="K391" s="103"/>
      <c r="L391" s="55"/>
      <c r="M391" s="55"/>
      <c r="N391" s="55"/>
      <c r="O391" s="55"/>
      <c r="P391" s="55"/>
      <c r="Q391" s="55"/>
      <c r="R391" s="55"/>
      <c r="S391" s="55"/>
      <c r="T391" s="55"/>
      <c r="U391" s="55"/>
      <c r="V391" s="55"/>
      <c r="Y391" s="107"/>
      <c r="Z391" s="108"/>
      <c r="AA391" s="107"/>
      <c r="AB391" s="107"/>
      <c r="AC391" s="107"/>
      <c r="AD391" s="107"/>
      <c r="AE391" s="107"/>
      <c r="AF391" s="107"/>
      <c r="AG391" s="107"/>
      <c r="AH391" s="107"/>
      <c r="AI391" s="107"/>
      <c r="AJ391" s="107"/>
      <c r="AK391" s="107"/>
      <c r="AL391" s="107"/>
      <c r="AM391" s="53"/>
      <c r="AN391" s="53"/>
      <c r="AO391" s="53"/>
      <c r="AP391" s="53"/>
    </row>
    <row r="392" spans="1:42" s="5" customFormat="1" x14ac:dyDescent="0.25">
      <c r="A392" s="53"/>
      <c r="B392" s="53"/>
      <c r="D392" s="59"/>
      <c r="E392" s="59"/>
      <c r="F392" s="59"/>
      <c r="G392" s="59"/>
      <c r="H392" s="59"/>
      <c r="I392" s="60"/>
      <c r="J392" s="60"/>
      <c r="K392" s="60"/>
      <c r="L392" s="61"/>
      <c r="M392" s="60"/>
      <c r="N392" s="60"/>
      <c r="Y392" s="107"/>
      <c r="Z392" s="108"/>
      <c r="AA392" s="107"/>
      <c r="AB392" s="107"/>
      <c r="AC392" s="107"/>
      <c r="AD392" s="107"/>
      <c r="AE392" s="107"/>
      <c r="AF392" s="107"/>
      <c r="AG392" s="107"/>
      <c r="AH392" s="107"/>
      <c r="AI392" s="107"/>
      <c r="AJ392" s="107"/>
      <c r="AK392" s="107"/>
      <c r="AL392" s="107"/>
      <c r="AM392" s="53"/>
      <c r="AN392" s="53"/>
      <c r="AO392" s="53"/>
      <c r="AP392" s="53"/>
    </row>
    <row r="393" spans="1:42" s="5" customFormat="1" x14ac:dyDescent="0.25">
      <c r="A393" s="53"/>
      <c r="B393" s="53"/>
      <c r="D393" s="59"/>
      <c r="E393" s="59"/>
      <c r="F393" s="59"/>
      <c r="G393" s="59"/>
      <c r="H393" s="59"/>
      <c r="I393" s="60"/>
      <c r="J393" s="60"/>
      <c r="K393" s="60"/>
      <c r="L393" s="61"/>
      <c r="Y393" s="107"/>
      <c r="Z393" s="108"/>
      <c r="AA393" s="107"/>
      <c r="AB393" s="107"/>
      <c r="AC393" s="107"/>
      <c r="AD393" s="107"/>
      <c r="AE393" s="107"/>
      <c r="AF393" s="107"/>
      <c r="AG393" s="107"/>
      <c r="AH393" s="107"/>
      <c r="AI393" s="107"/>
      <c r="AJ393" s="107"/>
      <c r="AK393" s="107"/>
      <c r="AL393" s="107"/>
      <c r="AM393" s="53"/>
      <c r="AN393" s="53"/>
      <c r="AO393" s="53"/>
      <c r="AP393" s="53"/>
    </row>
    <row r="394" spans="1:42" s="5" customFormat="1" x14ac:dyDescent="0.25">
      <c r="A394" s="53"/>
      <c r="B394" s="53"/>
      <c r="D394" s="59"/>
      <c r="E394" s="59"/>
      <c r="F394" s="59"/>
      <c r="G394" s="59"/>
      <c r="H394" s="59"/>
      <c r="Y394" s="107"/>
      <c r="Z394" s="108"/>
      <c r="AA394" s="107"/>
      <c r="AB394" s="107"/>
      <c r="AC394" s="107"/>
      <c r="AD394" s="107"/>
      <c r="AE394" s="107"/>
      <c r="AF394" s="107"/>
      <c r="AG394" s="107"/>
      <c r="AH394" s="107"/>
      <c r="AI394" s="107"/>
      <c r="AJ394" s="107"/>
      <c r="AK394" s="107"/>
      <c r="AL394" s="107"/>
      <c r="AM394" s="53"/>
      <c r="AN394" s="53"/>
      <c r="AO394" s="53"/>
      <c r="AP394" s="53"/>
    </row>
    <row r="395" spans="1:42" s="5" customFormat="1" x14ac:dyDescent="0.25">
      <c r="A395" s="53"/>
      <c r="B395" s="53"/>
      <c r="D395" s="59"/>
      <c r="E395" s="59"/>
      <c r="F395" s="59"/>
      <c r="G395" s="59"/>
      <c r="H395" s="59"/>
      <c r="Y395" s="107"/>
      <c r="Z395" s="108"/>
      <c r="AA395" s="107"/>
      <c r="AB395" s="107"/>
      <c r="AC395" s="107"/>
      <c r="AD395" s="107"/>
      <c r="AE395" s="107"/>
      <c r="AF395" s="107"/>
      <c r="AG395" s="107"/>
      <c r="AH395" s="107"/>
      <c r="AI395" s="107"/>
      <c r="AJ395" s="107"/>
      <c r="AK395" s="107"/>
      <c r="AL395" s="107"/>
      <c r="AM395" s="53"/>
      <c r="AN395" s="53"/>
      <c r="AO395" s="53"/>
      <c r="AP395" s="53"/>
    </row>
  </sheetData>
  <autoFilter ref="C13:X186" xr:uid="{00000000-0001-0000-0000-000000000000}"/>
  <mergeCells count="3">
    <mergeCell ref="C2:F2"/>
    <mergeCell ref="L11:W11"/>
    <mergeCell ref="I5:J5"/>
  </mergeCells>
  <dataValidations count="1">
    <dataValidation type="list" allowBlank="1" showInputMessage="1" showErrorMessage="1" sqref="E183:F183 E184:E186 E14:E182" xr:uid="{F844ECFE-9222-4434-8483-020967C0C370}">
      <formula1>"GESAC,WifiBrasil"</formula1>
    </dataValidation>
  </dataValidations>
  <pageMargins left="0.511811024" right="0.511811024" top="0.78740157499999996" bottom="0.78740157499999996" header="0.31496062000000002" footer="0.31496062000000002"/>
  <pageSetup paperSize="9" orientation="portrait" verticalDpi="0" r:id="rId2"/>
  <drawing r:id="rId3"/>
  <legacyDrawing r:id="rId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" id="{73ED5696-5007-4254-B8E3-8D116B84854E}">
            <x14:iconSet iconSet="3Triangles" custom="1">
              <x14:cfvo type="percent">
                <xm:f>0</xm:f>
              </x14:cfvo>
              <x14:cfvo type="num">
                <xm:f>70</xm:f>
              </x14:cfvo>
              <x14:cfvo type="num">
                <xm:f>85</xm:f>
              </x14:cfvo>
              <x14:cfIcon iconSet="3TrafficLights1" iconId="2"/>
              <x14:cfIcon iconSet="3TrafficLights1" iconId="1"/>
              <x14:cfIcon iconSet="3TrafficLights1" iconId="0"/>
            </x14:iconSet>
          </x14:cfRule>
          <xm:sqref>J14:J105</xm:sqref>
        </x14:conditionalFormatting>
        <x14:conditionalFormatting xmlns:xm="http://schemas.microsoft.com/office/excel/2006/main">
          <x14:cfRule type="iconSet" priority="1" id="{4AAD2D36-45F8-40B7-BCFD-1AB12048A83B}">
            <x14:iconSet iconSet="3Triangles" custom="1">
              <x14:cfvo type="percent">
                <xm:f>0</xm:f>
              </x14:cfvo>
              <x14:cfvo type="num">
                <xm:f>70</xm:f>
              </x14:cfvo>
              <x14:cfvo type="num">
                <xm:f>85</xm:f>
              </x14:cfvo>
              <x14:cfIcon iconSet="3TrafficLights1" iconId="2"/>
              <x14:cfIcon iconSet="3TrafficLights1" iconId="1"/>
              <x14:cfIcon iconSet="3TrafficLights1" iconId="0"/>
            </x14:iconSet>
          </x14:cfRule>
          <xm:sqref>J6:J8</xm:sqref>
        </x14:conditionalFormatting>
        <x14:conditionalFormatting xmlns:xm="http://schemas.microsoft.com/office/excel/2006/main">
          <x14:cfRule type="iconSet" priority="9" id="{EBA678E9-CB68-4707-A450-062494465697}">
            <x14:iconSet iconSet="3Triangles" custom="1">
              <x14:cfvo type="percent">
                <xm:f>0</xm:f>
              </x14:cfvo>
              <x14:cfvo type="num">
                <xm:f>0.7</xm:f>
              </x14:cfvo>
              <x14:cfvo type="num">
                <xm:f>0.85</xm:f>
              </x14:cfvo>
              <x14:cfIcon iconSet="3TrafficLights1" iconId="2"/>
              <x14:cfIcon iconSet="3TrafficLights1" iconId="1"/>
              <x14:cfIcon iconSet="3TrafficLights1" iconId="0"/>
            </x14:iconSet>
          </x14:cfRule>
          <xm:sqref>J106:J186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643BDB-1492-441B-A9EB-F22E8D0A442B}">
  <sheetPr codeName="Plan1"/>
  <dimension ref="B1:FZ246"/>
  <sheetViews>
    <sheetView topLeftCell="A17" workbookViewId="0">
      <selection activeCell="M30" sqref="M30"/>
    </sheetView>
  </sheetViews>
  <sheetFormatPr defaultColWidth="9.140625" defaultRowHeight="15" x14ac:dyDescent="0.25"/>
  <cols>
    <col min="1" max="1" width="9.140625" style="53"/>
    <col min="2" max="2" width="0.85546875" style="53" hidden="1" customWidth="1"/>
    <col min="3" max="3" width="0.140625" style="53" customWidth="1"/>
    <col min="4" max="4" width="16.28515625" style="53" customWidth="1"/>
    <col min="5" max="5" width="23.7109375" style="53" customWidth="1"/>
    <col min="6" max="6" width="22.42578125" style="53" customWidth="1"/>
    <col min="7" max="7" width="24.42578125" style="53" customWidth="1"/>
    <col min="8" max="8" width="16" style="53" bestFit="1" customWidth="1"/>
    <col min="9" max="9" width="13" style="53" customWidth="1"/>
    <col min="10" max="10" width="29.85546875" style="53" bestFit="1" customWidth="1"/>
    <col min="11" max="11" width="5" style="53" customWidth="1"/>
    <col min="12" max="12" width="15.140625" style="5" bestFit="1" customWidth="1"/>
    <col min="13" max="13" width="14" style="5" bestFit="1" customWidth="1"/>
    <col min="14" max="14" width="10.42578125" style="5" bestFit="1" customWidth="1"/>
    <col min="15" max="15" width="12" style="5" bestFit="1" customWidth="1"/>
    <col min="16" max="16" width="17.140625" style="5" customWidth="1"/>
    <col min="17" max="17" width="14.140625" style="53" bestFit="1" customWidth="1"/>
    <col min="18" max="18" width="15" style="53" bestFit="1" customWidth="1"/>
    <col min="19" max="24" width="13.5703125" style="53" bestFit="1" customWidth="1"/>
    <col min="25" max="26" width="15" style="53" bestFit="1" customWidth="1"/>
    <col min="27" max="28" width="14" style="53" bestFit="1" customWidth="1"/>
    <col min="29" max="29" width="13.5703125" style="53" bestFit="1" customWidth="1"/>
    <col min="30" max="51" width="14.85546875" style="53" customWidth="1"/>
    <col min="52" max="66" width="16" style="53" customWidth="1"/>
    <col min="67" max="95" width="13.5703125" style="53" bestFit="1" customWidth="1"/>
    <col min="96" max="96" width="16" style="53" bestFit="1" customWidth="1"/>
    <col min="97" max="16384" width="9.140625" style="53"/>
  </cols>
  <sheetData>
    <row r="1" spans="3:182" ht="3" customHeight="1" x14ac:dyDescent="0.25"/>
    <row r="2" spans="3:182" ht="18.75" x14ac:dyDescent="0.3">
      <c r="D2" s="161" t="s">
        <v>231</v>
      </c>
      <c r="E2" s="161"/>
      <c r="F2" s="161"/>
      <c r="G2" s="161"/>
      <c r="H2" s="101"/>
      <c r="I2" s="101"/>
      <c r="J2" s="163" t="s">
        <v>246</v>
      </c>
      <c r="K2" s="163"/>
      <c r="L2" s="163"/>
      <c r="M2" s="163"/>
      <c r="N2" s="163"/>
      <c r="O2" s="163"/>
      <c r="P2" s="163"/>
      <c r="Q2" s="163"/>
    </row>
    <row r="3" spans="3:182" ht="7.5" customHeight="1" x14ac:dyDescent="0.25">
      <c r="H3" s="101"/>
      <c r="I3" s="101"/>
      <c r="J3" s="101"/>
    </row>
    <row r="4" spans="3:182" x14ac:dyDescent="0.25">
      <c r="H4" s="101"/>
      <c r="I4" s="101"/>
      <c r="J4" s="101"/>
      <c r="L4"/>
      <c r="M4"/>
    </row>
    <row r="5" spans="3:182" ht="9.6" customHeight="1" x14ac:dyDescent="0.25">
      <c r="H5" s="101"/>
      <c r="I5" s="101"/>
      <c r="J5" s="101"/>
    </row>
    <row r="6" spans="3:182" x14ac:dyDescent="0.25">
      <c r="D6" s="62"/>
      <c r="E6" s="98" t="s">
        <v>232</v>
      </c>
      <c r="F6" s="62"/>
      <c r="G6" s="63"/>
      <c r="H6" s="101"/>
      <c r="I6" s="101"/>
      <c r="J6" s="101"/>
      <c r="L6" s="63"/>
      <c r="M6" s="64" t="s">
        <v>247</v>
      </c>
      <c r="N6" s="63"/>
      <c r="O6" s="63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</row>
    <row r="7" spans="3:182" x14ac:dyDescent="0.25">
      <c r="D7" s="9" t="s">
        <v>233</v>
      </c>
      <c r="E7" s="62" t="s">
        <v>248</v>
      </c>
      <c r="F7" s="62" t="s">
        <v>249</v>
      </c>
      <c r="G7" s="62" t="s">
        <v>250</v>
      </c>
      <c r="H7" s="101"/>
      <c r="I7" s="101"/>
      <c r="J7" s="101"/>
      <c r="L7" s="144" t="s">
        <v>4</v>
      </c>
      <c r="M7" s="144" t="s">
        <v>153</v>
      </c>
      <c r="N7" s="144" t="s">
        <v>216</v>
      </c>
      <c r="O7" s="144" t="s">
        <v>220</v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</row>
    <row r="8" spans="3:182" x14ac:dyDescent="0.25">
      <c r="D8" s="2" t="s">
        <v>236</v>
      </c>
      <c r="E8" s="56">
        <v>0</v>
      </c>
      <c r="F8" s="56">
        <v>0</v>
      </c>
      <c r="G8" s="56">
        <v>0</v>
      </c>
      <c r="H8" s="101"/>
      <c r="I8" s="101"/>
      <c r="J8" s="101"/>
      <c r="L8" s="66" t="s">
        <v>251</v>
      </c>
      <c r="M8" s="67">
        <v>0</v>
      </c>
      <c r="N8" s="67">
        <v>0</v>
      </c>
      <c r="O8" s="67">
        <v>0</v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</row>
    <row r="9" spans="3:182" x14ac:dyDescent="0.25">
      <c r="D9" s="2" t="s">
        <v>237</v>
      </c>
      <c r="E9" s="56">
        <v>0</v>
      </c>
      <c r="F9" s="56">
        <v>0</v>
      </c>
      <c r="G9" s="56">
        <v>0</v>
      </c>
      <c r="H9" s="101"/>
      <c r="I9" s="101"/>
      <c r="J9" s="101"/>
      <c r="L9" s="68" t="s">
        <v>252</v>
      </c>
      <c r="M9" s="69">
        <v>0</v>
      </c>
      <c r="N9" s="69">
        <v>0</v>
      </c>
      <c r="O9" s="69">
        <v>0</v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</row>
    <row r="10" spans="3:182" x14ac:dyDescent="0.25">
      <c r="D10" s="2" t="s">
        <v>209</v>
      </c>
      <c r="E10" s="56">
        <v>0</v>
      </c>
      <c r="F10" s="56">
        <v>0</v>
      </c>
      <c r="G10" s="56">
        <v>0</v>
      </c>
      <c r="H10" s="101"/>
      <c r="I10" s="101"/>
      <c r="J10" s="101"/>
      <c r="L10" s="68" t="s">
        <v>253</v>
      </c>
      <c r="M10" s="69">
        <v>0</v>
      </c>
      <c r="N10" s="69">
        <v>0</v>
      </c>
      <c r="O10" s="69">
        <v>0</v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</row>
    <row r="11" spans="3:182" x14ac:dyDescent="0.25">
      <c r="D11" s="2" t="s">
        <v>238</v>
      </c>
      <c r="E11" s="56">
        <v>74324.41</v>
      </c>
      <c r="F11" s="56">
        <v>0</v>
      </c>
      <c r="G11" s="56">
        <v>74324.41</v>
      </c>
      <c r="H11" s="101"/>
      <c r="I11" s="101"/>
      <c r="J11" s="101"/>
      <c r="L11" s="68" t="s">
        <v>254</v>
      </c>
      <c r="M11" s="69">
        <v>0</v>
      </c>
      <c r="N11" s="69">
        <v>0</v>
      </c>
      <c r="O11" s="69">
        <v>0</v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</row>
    <row r="12" spans="3:182" x14ac:dyDescent="0.25">
      <c r="D12" s="137" t="s">
        <v>1</v>
      </c>
      <c r="E12" s="56">
        <v>100679121.84999999</v>
      </c>
      <c r="F12" s="56">
        <v>0</v>
      </c>
      <c r="G12" s="56">
        <v>101381136.22404449</v>
      </c>
      <c r="H12" s="101"/>
      <c r="I12" s="101"/>
      <c r="J12" s="101"/>
      <c r="L12" s="68" t="s">
        <v>255</v>
      </c>
      <c r="M12" s="69">
        <v>0</v>
      </c>
      <c r="N12" s="69">
        <v>0</v>
      </c>
      <c r="O12" s="69">
        <v>0</v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</row>
    <row r="13" spans="3:182" x14ac:dyDescent="0.25">
      <c r="D13" s="2" t="s">
        <v>286</v>
      </c>
      <c r="E13" s="56">
        <v>0</v>
      </c>
      <c r="F13" s="56">
        <v>0</v>
      </c>
      <c r="G13" s="56">
        <v>0</v>
      </c>
      <c r="H13" s="101"/>
      <c r="I13" s="101"/>
      <c r="J13" s="101"/>
      <c r="L13" s="68" t="s">
        <v>256</v>
      </c>
      <c r="M13" s="69">
        <v>0</v>
      </c>
      <c r="N13" s="69">
        <v>0</v>
      </c>
      <c r="O13" s="69">
        <v>0</v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</row>
    <row r="14" spans="3:182" x14ac:dyDescent="0.25">
      <c r="D14" s="5" t="s">
        <v>220</v>
      </c>
      <c r="E14" s="56">
        <v>100753446.25999999</v>
      </c>
      <c r="F14" s="56">
        <v>0</v>
      </c>
      <c r="G14" s="56">
        <v>101455460.63404448</v>
      </c>
      <c r="H14" s="101"/>
      <c r="I14" s="101"/>
      <c r="J14" s="101"/>
      <c r="K14" s="5"/>
      <c r="L14" s="68" t="s">
        <v>258</v>
      </c>
      <c r="M14" s="69">
        <v>0</v>
      </c>
      <c r="N14" s="69">
        <v>0</v>
      </c>
      <c r="O14" s="69">
        <v>0</v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</row>
    <row r="15" spans="3:182" ht="18.75" x14ac:dyDescent="0.3">
      <c r="C15" s="162" t="s">
        <v>257</v>
      </c>
      <c r="D15" s="162"/>
      <c r="E15" s="162"/>
      <c r="F15" s="162"/>
      <c r="G15" s="162"/>
      <c r="H15" s="101"/>
      <c r="I15" s="101"/>
      <c r="J15" s="101"/>
      <c r="K15" s="5"/>
      <c r="L15" s="68" t="s">
        <v>259</v>
      </c>
      <c r="M15" s="69">
        <v>0</v>
      </c>
      <c r="N15" s="69">
        <v>0</v>
      </c>
      <c r="O15" s="69">
        <v>0</v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</row>
    <row r="16" spans="3:182" x14ac:dyDescent="0.25">
      <c r="D16" s="5"/>
      <c r="E16" s="5"/>
      <c r="F16" s="5"/>
      <c r="G16" s="5"/>
      <c r="H16" s="101"/>
      <c r="I16" s="101"/>
      <c r="J16" s="101"/>
      <c r="K16" s="5"/>
      <c r="L16" s="68" t="s">
        <v>260</v>
      </c>
      <c r="M16" s="69">
        <v>0</v>
      </c>
      <c r="N16" s="69">
        <v>0</v>
      </c>
      <c r="O16" s="69">
        <v>0</v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</row>
    <row r="17" spans="4:182" x14ac:dyDescent="0.25">
      <c r="D17" s="70"/>
      <c r="E17" s="100" t="s">
        <v>247</v>
      </c>
      <c r="F17" s="70"/>
      <c r="G17" s="70"/>
      <c r="H17" s="70"/>
      <c r="I17" s="121"/>
      <c r="J17" s="101"/>
      <c r="K17" s="55"/>
      <c r="L17" s="68" t="s">
        <v>261</v>
      </c>
      <c r="M17" s="69">
        <v>0</v>
      </c>
      <c r="N17" s="69">
        <v>0</v>
      </c>
      <c r="O17" s="69">
        <v>0</v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</row>
    <row r="18" spans="4:182" x14ac:dyDescent="0.25">
      <c r="D18" s="99" t="s">
        <v>4</v>
      </c>
      <c r="E18" s="71" t="s">
        <v>153</v>
      </c>
      <c r="F18" s="71" t="s">
        <v>216</v>
      </c>
      <c r="G18" s="70" t="s">
        <v>286</v>
      </c>
      <c r="H18" s="71" t="s">
        <v>220</v>
      </c>
      <c r="I18" s="132"/>
      <c r="J18" s="101"/>
      <c r="K18" s="72"/>
      <c r="L18" s="68" t="s">
        <v>262</v>
      </c>
      <c r="M18" s="69">
        <v>0</v>
      </c>
      <c r="N18" s="69">
        <v>0</v>
      </c>
      <c r="O18" s="69">
        <v>0</v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</row>
    <row r="19" spans="4:182" x14ac:dyDescent="0.25">
      <c r="D19" s="73" t="s">
        <v>251</v>
      </c>
      <c r="E19" s="74"/>
      <c r="F19" s="74"/>
      <c r="G19" s="74"/>
      <c r="H19" s="74"/>
      <c r="I19" s="101"/>
      <c r="J19" s="101"/>
      <c r="K19" s="72"/>
      <c r="L19" s="68" t="s">
        <v>263</v>
      </c>
      <c r="M19" s="69">
        <v>0</v>
      </c>
      <c r="N19" s="69">
        <v>0</v>
      </c>
      <c r="O19" s="69">
        <v>0</v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</row>
    <row r="20" spans="4:182" x14ac:dyDescent="0.25">
      <c r="D20" s="75" t="s">
        <v>252</v>
      </c>
      <c r="E20" s="76"/>
      <c r="F20" s="76"/>
      <c r="G20" s="76"/>
      <c r="H20" s="76"/>
      <c r="I20" s="101"/>
      <c r="J20" s="101"/>
      <c r="K20" s="72"/>
      <c r="L20" s="77" t="s">
        <v>234</v>
      </c>
      <c r="M20" s="78">
        <v>207000</v>
      </c>
      <c r="N20" s="78">
        <v>93000</v>
      </c>
      <c r="O20" s="78">
        <v>300000</v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</row>
    <row r="21" spans="4:182" x14ac:dyDescent="0.25">
      <c r="D21" s="75" t="s">
        <v>253</v>
      </c>
      <c r="E21" s="76"/>
      <c r="F21" s="76"/>
      <c r="G21" s="76"/>
      <c r="H21" s="76"/>
      <c r="I21" s="101"/>
      <c r="J21" s="101"/>
      <c r="K21" s="72"/>
      <c r="L21" s="79" t="s">
        <v>264</v>
      </c>
      <c r="M21" s="80">
        <v>0</v>
      </c>
      <c r="N21" s="80">
        <v>0</v>
      </c>
      <c r="O21" s="80">
        <v>0</v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</row>
    <row r="22" spans="4:182" x14ac:dyDescent="0.25">
      <c r="D22" s="75" t="s">
        <v>254</v>
      </c>
      <c r="E22" s="76"/>
      <c r="F22" s="76"/>
      <c r="G22" s="76"/>
      <c r="H22" s="76"/>
      <c r="I22" s="101"/>
      <c r="J22" s="101"/>
      <c r="K22" s="72"/>
      <c r="L22" s="81" t="s">
        <v>21</v>
      </c>
      <c r="M22" s="82">
        <v>208443.36752999999</v>
      </c>
      <c r="N22" s="82">
        <v>93648.469469999996</v>
      </c>
      <c r="O22" s="82">
        <v>302091.837</v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</row>
    <row r="23" spans="4:182" x14ac:dyDescent="0.25">
      <c r="D23" s="75" t="s">
        <v>255</v>
      </c>
      <c r="E23" s="76"/>
      <c r="F23" s="76"/>
      <c r="G23" s="76"/>
      <c r="H23" s="76"/>
      <c r="I23" s="101"/>
      <c r="J23" s="101"/>
      <c r="K23" s="72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</row>
    <row r="24" spans="4:182" x14ac:dyDescent="0.25">
      <c r="D24" s="75" t="s">
        <v>256</v>
      </c>
      <c r="E24" s="76"/>
      <c r="F24" s="76"/>
      <c r="G24" s="76"/>
      <c r="H24" s="76"/>
      <c r="I24" s="101"/>
      <c r="J24" s="101"/>
      <c r="K24" s="72"/>
      <c r="L24"/>
      <c r="M24"/>
    </row>
    <row r="25" spans="4:182" ht="18.75" x14ac:dyDescent="0.3">
      <c r="D25" s="75" t="s">
        <v>258</v>
      </c>
      <c r="E25" s="76"/>
      <c r="F25" s="76"/>
      <c r="G25" s="76"/>
      <c r="H25" s="76"/>
      <c r="I25" s="101"/>
      <c r="J25" s="164" t="s">
        <v>267</v>
      </c>
      <c r="K25" s="164"/>
      <c r="L25" s="164"/>
      <c r="M25" s="164"/>
      <c r="N25" s="164"/>
      <c r="O25" s="164"/>
      <c r="P25" s="164"/>
      <c r="Q25" s="164"/>
      <c r="R25" s="101"/>
      <c r="S25" s="72"/>
      <c r="V25" s="5"/>
      <c r="W25" s="5"/>
      <c r="X25" s="5"/>
    </row>
    <row r="26" spans="4:182" x14ac:dyDescent="0.25">
      <c r="D26" s="75" t="s">
        <v>259</v>
      </c>
      <c r="E26" s="76"/>
      <c r="F26" s="76"/>
      <c r="G26" s="76"/>
      <c r="H26" s="76"/>
      <c r="I26" s="101"/>
      <c r="J26" s="101"/>
      <c r="K26" s="72"/>
      <c r="L26" s="53"/>
      <c r="M26" s="53"/>
    </row>
    <row r="27" spans="4:182" x14ac:dyDescent="0.25">
      <c r="D27" s="75" t="s">
        <v>260</v>
      </c>
      <c r="E27" s="76"/>
      <c r="F27" s="76"/>
      <c r="G27" s="76"/>
      <c r="H27" s="76"/>
      <c r="I27" s="101"/>
      <c r="J27" s="101"/>
      <c r="K27" s="72"/>
    </row>
    <row r="28" spans="4:182" x14ac:dyDescent="0.25">
      <c r="D28" s="75" t="s">
        <v>261</v>
      </c>
      <c r="E28" s="76"/>
      <c r="F28" s="76"/>
      <c r="G28" s="76"/>
      <c r="H28" s="76"/>
      <c r="I28" s="101"/>
      <c r="L28" s="133"/>
      <c r="M28" s="133" t="s">
        <v>2</v>
      </c>
      <c r="N28" s="65"/>
      <c r="O28"/>
      <c r="P28"/>
    </row>
    <row r="29" spans="4:182" x14ac:dyDescent="0.25">
      <c r="D29" s="75" t="s">
        <v>262</v>
      </c>
      <c r="E29" s="76"/>
      <c r="F29" s="76"/>
      <c r="G29" s="76"/>
      <c r="H29" s="76"/>
      <c r="I29" s="101"/>
      <c r="L29" s="133"/>
      <c r="M29" s="102" t="s">
        <v>153</v>
      </c>
      <c r="N29" s="102" t="s">
        <v>216</v>
      </c>
      <c r="O29"/>
      <c r="P29"/>
    </row>
    <row r="30" spans="4:182" x14ac:dyDescent="0.25">
      <c r="D30" s="75" t="s">
        <v>263</v>
      </c>
      <c r="E30" s="76"/>
      <c r="F30" s="76"/>
      <c r="G30" s="76"/>
      <c r="H30" s="76"/>
      <c r="I30" s="101"/>
      <c r="L30" s="138" t="s">
        <v>268</v>
      </c>
      <c r="M30" s="139">
        <v>0</v>
      </c>
      <c r="N30" s="139">
        <v>0</v>
      </c>
      <c r="O30"/>
      <c r="P30"/>
    </row>
    <row r="31" spans="4:182" x14ac:dyDescent="0.25">
      <c r="D31" s="83" t="s">
        <v>234</v>
      </c>
      <c r="E31" s="84">
        <v>88298058.269999996</v>
      </c>
      <c r="F31" s="84">
        <v>12455387.99</v>
      </c>
      <c r="G31" s="84"/>
      <c r="H31" s="84">
        <v>100753446.25999999</v>
      </c>
      <c r="I31" s="101"/>
      <c r="L31"/>
      <c r="M31"/>
      <c r="N31"/>
      <c r="O31"/>
      <c r="P31"/>
    </row>
    <row r="32" spans="4:182" x14ac:dyDescent="0.25">
      <c r="D32" s="85" t="s">
        <v>264</v>
      </c>
      <c r="E32" s="86">
        <v>0</v>
      </c>
      <c r="F32" s="86">
        <v>0</v>
      </c>
      <c r="G32" s="86">
        <v>0</v>
      </c>
      <c r="H32" s="86">
        <v>0</v>
      </c>
      <c r="I32" s="101"/>
      <c r="L32"/>
      <c r="M32"/>
      <c r="N32"/>
      <c r="O32"/>
      <c r="P32"/>
    </row>
    <row r="33" spans="4:16" x14ac:dyDescent="0.25">
      <c r="D33" s="87" t="s">
        <v>265</v>
      </c>
      <c r="E33" s="88">
        <v>88913223.839221701</v>
      </c>
      <c r="F33" s="88">
        <v>12542236.79482279</v>
      </c>
      <c r="G33" s="88">
        <v>0</v>
      </c>
      <c r="H33" s="88">
        <v>101455460.6340445</v>
      </c>
      <c r="I33" s="101"/>
      <c r="L33"/>
      <c r="M33"/>
      <c r="N33"/>
      <c r="O33"/>
      <c r="P33"/>
    </row>
    <row r="34" spans="4:16" x14ac:dyDescent="0.25">
      <c r="I34" s="101"/>
      <c r="L34"/>
      <c r="M34"/>
      <c r="N34"/>
      <c r="O34"/>
      <c r="P34"/>
    </row>
    <row r="35" spans="4:16" x14ac:dyDescent="0.25">
      <c r="I35" s="101"/>
      <c r="L35"/>
      <c r="M35"/>
      <c r="N35"/>
      <c r="O35"/>
      <c r="P35"/>
    </row>
    <row r="36" spans="4:16" x14ac:dyDescent="0.25">
      <c r="L36"/>
      <c r="M36"/>
      <c r="N36"/>
      <c r="O36"/>
      <c r="P36"/>
    </row>
    <row r="37" spans="4:16" x14ac:dyDescent="0.25">
      <c r="L37"/>
      <c r="M37"/>
      <c r="N37"/>
      <c r="O37"/>
      <c r="P37"/>
    </row>
    <row r="38" spans="4:16" x14ac:dyDescent="0.25">
      <c r="L38"/>
      <c r="M38"/>
      <c r="N38"/>
      <c r="O38"/>
      <c r="P38"/>
    </row>
    <row r="39" spans="4:16" x14ac:dyDescent="0.25">
      <c r="L39"/>
      <c r="M39"/>
      <c r="N39"/>
      <c r="O39"/>
      <c r="P39"/>
    </row>
    <row r="40" spans="4:16" x14ac:dyDescent="0.25">
      <c r="L40"/>
      <c r="M40"/>
      <c r="N40"/>
      <c r="O40"/>
      <c r="P40"/>
    </row>
    <row r="41" spans="4:16" x14ac:dyDescent="0.25">
      <c r="L41"/>
      <c r="M41"/>
      <c r="N41"/>
      <c r="O41"/>
      <c r="P41"/>
    </row>
    <row r="42" spans="4:16" x14ac:dyDescent="0.25">
      <c r="L42"/>
      <c r="M42"/>
      <c r="N42"/>
      <c r="O42"/>
      <c r="P42"/>
    </row>
    <row r="43" spans="4:16" x14ac:dyDescent="0.25">
      <c r="L43"/>
      <c r="M43"/>
      <c r="N43"/>
      <c r="O43"/>
      <c r="P43"/>
    </row>
    <row r="44" spans="4:16" x14ac:dyDescent="0.25">
      <c r="L44"/>
      <c r="M44"/>
      <c r="N44"/>
      <c r="O44"/>
      <c r="P44"/>
    </row>
    <row r="45" spans="4:16" x14ac:dyDescent="0.25">
      <c r="L45"/>
      <c r="M45"/>
      <c r="N45"/>
      <c r="O45"/>
      <c r="P45"/>
    </row>
    <row r="46" spans="4:16" x14ac:dyDescent="0.25">
      <c r="L46"/>
      <c r="M46"/>
      <c r="N46"/>
      <c r="O46"/>
      <c r="P46"/>
    </row>
    <row r="47" spans="4:16" x14ac:dyDescent="0.25">
      <c r="L47"/>
      <c r="M47"/>
      <c r="N47"/>
      <c r="O47"/>
      <c r="P47"/>
    </row>
    <row r="48" spans="4:16" x14ac:dyDescent="0.25">
      <c r="L48"/>
      <c r="M48"/>
      <c r="N48"/>
      <c r="O48"/>
      <c r="P48"/>
    </row>
    <row r="49" spans="12:16" x14ac:dyDescent="0.25">
      <c r="L49"/>
      <c r="M49"/>
      <c r="N49"/>
      <c r="O49"/>
      <c r="P49"/>
    </row>
    <row r="50" spans="12:16" x14ac:dyDescent="0.25">
      <c r="L50"/>
      <c r="M50"/>
      <c r="N50"/>
      <c r="O50"/>
      <c r="P50"/>
    </row>
    <row r="51" spans="12:16" x14ac:dyDescent="0.25">
      <c r="L51"/>
      <c r="M51"/>
      <c r="N51"/>
      <c r="O51"/>
      <c r="P51"/>
    </row>
    <row r="52" spans="12:16" x14ac:dyDescent="0.25">
      <c r="L52"/>
      <c r="M52"/>
      <c r="N52"/>
      <c r="O52"/>
      <c r="P52"/>
    </row>
    <row r="53" spans="12:16" x14ac:dyDescent="0.25">
      <c r="L53"/>
      <c r="M53"/>
      <c r="N53"/>
      <c r="O53"/>
      <c r="P53"/>
    </row>
    <row r="54" spans="12:16" x14ac:dyDescent="0.25">
      <c r="L54"/>
      <c r="M54"/>
      <c r="N54"/>
      <c r="O54"/>
      <c r="P54"/>
    </row>
    <row r="55" spans="12:16" x14ac:dyDescent="0.25">
      <c r="L55"/>
      <c r="M55"/>
      <c r="N55"/>
      <c r="O55"/>
      <c r="P55"/>
    </row>
    <row r="56" spans="12:16" x14ac:dyDescent="0.25">
      <c r="L56"/>
      <c r="M56"/>
      <c r="N56"/>
      <c r="O56"/>
      <c r="P56"/>
    </row>
    <row r="57" spans="12:16" x14ac:dyDescent="0.25">
      <c r="L57"/>
      <c r="M57"/>
      <c r="N57"/>
      <c r="O57"/>
      <c r="P57"/>
    </row>
    <row r="58" spans="12:16" x14ac:dyDescent="0.25">
      <c r="L58"/>
      <c r="M58"/>
      <c r="N58"/>
      <c r="O58"/>
      <c r="P58"/>
    </row>
    <row r="59" spans="12:16" x14ac:dyDescent="0.25">
      <c r="L59"/>
      <c r="M59"/>
      <c r="N59"/>
      <c r="O59"/>
      <c r="P59"/>
    </row>
    <row r="60" spans="12:16" x14ac:dyDescent="0.25">
      <c r="L60"/>
      <c r="M60"/>
      <c r="N60"/>
      <c r="O60"/>
      <c r="P60"/>
    </row>
    <row r="61" spans="12:16" x14ac:dyDescent="0.25">
      <c r="L61"/>
      <c r="M61"/>
      <c r="N61"/>
      <c r="O61"/>
      <c r="P61"/>
    </row>
    <row r="62" spans="12:16" x14ac:dyDescent="0.25">
      <c r="L62"/>
      <c r="M62"/>
      <c r="N62"/>
      <c r="O62"/>
      <c r="P62"/>
    </row>
    <row r="63" spans="12:16" x14ac:dyDescent="0.25">
      <c r="L63"/>
      <c r="M63"/>
      <c r="N63"/>
      <c r="O63"/>
      <c r="P63"/>
    </row>
    <row r="64" spans="12:16" x14ac:dyDescent="0.25">
      <c r="L64"/>
      <c r="M64"/>
      <c r="N64"/>
      <c r="O64"/>
      <c r="P64"/>
    </row>
    <row r="65" spans="12:16" x14ac:dyDescent="0.25">
      <c r="L65"/>
      <c r="M65"/>
      <c r="N65"/>
      <c r="O65"/>
      <c r="P65"/>
    </row>
    <row r="66" spans="12:16" x14ac:dyDescent="0.25">
      <c r="L66"/>
      <c r="M66"/>
      <c r="N66"/>
      <c r="O66"/>
      <c r="P66"/>
    </row>
    <row r="67" spans="12:16" x14ac:dyDescent="0.25">
      <c r="L67"/>
      <c r="M67"/>
      <c r="N67"/>
      <c r="O67"/>
      <c r="P67"/>
    </row>
    <row r="68" spans="12:16" x14ac:dyDescent="0.25">
      <c r="L68"/>
      <c r="M68"/>
      <c r="N68"/>
      <c r="O68"/>
      <c r="P68"/>
    </row>
    <row r="69" spans="12:16" x14ac:dyDescent="0.25">
      <c r="L69"/>
      <c r="M69"/>
      <c r="N69"/>
      <c r="O69"/>
      <c r="P69"/>
    </row>
    <row r="70" spans="12:16" x14ac:dyDescent="0.25">
      <c r="L70"/>
      <c r="M70"/>
      <c r="N70"/>
      <c r="O70"/>
      <c r="P70"/>
    </row>
    <row r="71" spans="12:16" x14ac:dyDescent="0.25">
      <c r="L71"/>
      <c r="M71"/>
      <c r="N71"/>
      <c r="O71"/>
      <c r="P71"/>
    </row>
    <row r="72" spans="12:16" x14ac:dyDescent="0.25">
      <c r="L72"/>
      <c r="M72"/>
      <c r="N72"/>
      <c r="O72"/>
      <c r="P72"/>
    </row>
    <row r="73" spans="12:16" x14ac:dyDescent="0.25">
      <c r="L73"/>
      <c r="M73"/>
      <c r="N73"/>
      <c r="O73"/>
      <c r="P73"/>
    </row>
    <row r="74" spans="12:16" x14ac:dyDescent="0.25">
      <c r="L74"/>
      <c r="M74"/>
      <c r="N74"/>
      <c r="O74"/>
      <c r="P74"/>
    </row>
    <row r="75" spans="12:16" x14ac:dyDescent="0.25">
      <c r="L75"/>
      <c r="M75"/>
      <c r="N75"/>
      <c r="O75"/>
      <c r="P75"/>
    </row>
    <row r="76" spans="12:16" x14ac:dyDescent="0.25">
      <c r="L76"/>
      <c r="M76"/>
      <c r="N76"/>
      <c r="O76"/>
      <c r="P76"/>
    </row>
    <row r="77" spans="12:16" x14ac:dyDescent="0.25">
      <c r="L77"/>
      <c r="M77"/>
      <c r="N77"/>
      <c r="O77"/>
      <c r="P77"/>
    </row>
    <row r="78" spans="12:16" x14ac:dyDescent="0.25">
      <c r="L78"/>
      <c r="M78"/>
      <c r="N78"/>
      <c r="O78"/>
      <c r="P78"/>
    </row>
    <row r="79" spans="12:16" x14ac:dyDescent="0.25">
      <c r="L79"/>
      <c r="M79"/>
      <c r="N79"/>
      <c r="O79"/>
      <c r="P79"/>
    </row>
    <row r="80" spans="12:16" x14ac:dyDescent="0.25">
      <c r="L80"/>
      <c r="M80"/>
      <c r="N80"/>
      <c r="O80"/>
      <c r="P80"/>
    </row>
    <row r="81" spans="12:16" x14ac:dyDescent="0.25">
      <c r="L81"/>
      <c r="M81"/>
      <c r="N81"/>
      <c r="O81"/>
      <c r="P81"/>
    </row>
    <row r="82" spans="12:16" x14ac:dyDescent="0.25">
      <c r="L82"/>
      <c r="M82"/>
      <c r="N82"/>
      <c r="O82"/>
      <c r="P82"/>
    </row>
    <row r="83" spans="12:16" x14ac:dyDescent="0.25">
      <c r="L83"/>
      <c r="M83"/>
      <c r="N83"/>
      <c r="O83"/>
      <c r="P83"/>
    </row>
    <row r="84" spans="12:16" x14ac:dyDescent="0.25">
      <c r="L84"/>
      <c r="M84"/>
      <c r="N84"/>
      <c r="O84"/>
      <c r="P84"/>
    </row>
    <row r="85" spans="12:16" x14ac:dyDescent="0.25">
      <c r="L85"/>
      <c r="M85"/>
      <c r="N85"/>
      <c r="O85"/>
      <c r="P85"/>
    </row>
    <row r="86" spans="12:16" x14ac:dyDescent="0.25">
      <c r="L86"/>
      <c r="M86"/>
      <c r="N86"/>
      <c r="O86"/>
      <c r="P86"/>
    </row>
    <row r="87" spans="12:16" x14ac:dyDescent="0.25">
      <c r="L87"/>
      <c r="M87"/>
      <c r="N87"/>
      <c r="O87"/>
      <c r="P87"/>
    </row>
    <row r="88" spans="12:16" x14ac:dyDescent="0.25">
      <c r="L88"/>
      <c r="M88"/>
      <c r="N88"/>
      <c r="O88"/>
      <c r="P88"/>
    </row>
    <row r="89" spans="12:16" x14ac:dyDescent="0.25">
      <c r="L89"/>
      <c r="M89"/>
      <c r="N89"/>
      <c r="O89"/>
      <c r="P89"/>
    </row>
    <row r="90" spans="12:16" x14ac:dyDescent="0.25">
      <c r="L90"/>
      <c r="M90"/>
      <c r="N90"/>
      <c r="O90"/>
      <c r="P90"/>
    </row>
    <row r="91" spans="12:16" x14ac:dyDescent="0.25">
      <c r="L91"/>
      <c r="M91"/>
      <c r="N91"/>
      <c r="O91"/>
      <c r="P91"/>
    </row>
    <row r="92" spans="12:16" x14ac:dyDescent="0.25">
      <c r="L92"/>
      <c r="M92"/>
      <c r="N92"/>
      <c r="O92"/>
      <c r="P92"/>
    </row>
    <row r="93" spans="12:16" x14ac:dyDescent="0.25">
      <c r="L93"/>
      <c r="M93"/>
      <c r="N93"/>
      <c r="O93"/>
      <c r="P93"/>
    </row>
    <row r="94" spans="12:16" x14ac:dyDescent="0.25">
      <c r="L94"/>
      <c r="M94"/>
      <c r="N94"/>
      <c r="O94"/>
      <c r="P94"/>
    </row>
    <row r="95" spans="12:16" x14ac:dyDescent="0.25">
      <c r="L95"/>
      <c r="M95"/>
      <c r="N95"/>
      <c r="O95"/>
      <c r="P95"/>
    </row>
    <row r="96" spans="12:16" x14ac:dyDescent="0.25">
      <c r="L96"/>
      <c r="M96"/>
      <c r="N96"/>
      <c r="O96"/>
      <c r="P96"/>
    </row>
    <row r="97" spans="12:16" x14ac:dyDescent="0.25">
      <c r="L97"/>
      <c r="M97"/>
      <c r="N97"/>
      <c r="O97"/>
      <c r="P97"/>
    </row>
    <row r="98" spans="12:16" x14ac:dyDescent="0.25">
      <c r="L98"/>
      <c r="M98"/>
      <c r="N98"/>
      <c r="O98"/>
      <c r="P98"/>
    </row>
    <row r="99" spans="12:16" x14ac:dyDescent="0.25">
      <c r="L99"/>
      <c r="M99"/>
      <c r="N99"/>
      <c r="O99"/>
      <c r="P99"/>
    </row>
    <row r="100" spans="12:16" x14ac:dyDescent="0.25">
      <c r="L100"/>
      <c r="M100"/>
      <c r="N100"/>
      <c r="O100"/>
      <c r="P100"/>
    </row>
    <row r="101" spans="12:16" x14ac:dyDescent="0.25">
      <c r="L101"/>
      <c r="M101"/>
      <c r="N101"/>
      <c r="O101"/>
      <c r="P101"/>
    </row>
    <row r="102" spans="12:16" x14ac:dyDescent="0.25">
      <c r="L102"/>
      <c r="M102"/>
      <c r="N102"/>
      <c r="O102"/>
      <c r="P102"/>
    </row>
    <row r="103" spans="12:16" x14ac:dyDescent="0.25">
      <c r="L103"/>
      <c r="M103"/>
      <c r="N103"/>
      <c r="O103"/>
      <c r="P103"/>
    </row>
    <row r="104" spans="12:16" x14ac:dyDescent="0.25">
      <c r="L104"/>
      <c r="M104"/>
      <c r="N104"/>
      <c r="O104"/>
      <c r="P104"/>
    </row>
    <row r="105" spans="12:16" x14ac:dyDescent="0.25">
      <c r="L105"/>
      <c r="M105"/>
      <c r="N105"/>
      <c r="O105"/>
      <c r="P105"/>
    </row>
    <row r="106" spans="12:16" x14ac:dyDescent="0.25">
      <c r="L106"/>
      <c r="M106"/>
      <c r="N106"/>
      <c r="O106"/>
      <c r="P106"/>
    </row>
    <row r="107" spans="12:16" x14ac:dyDescent="0.25">
      <c r="L107"/>
      <c r="M107"/>
      <c r="N107"/>
      <c r="O107"/>
      <c r="P107"/>
    </row>
    <row r="108" spans="12:16" x14ac:dyDescent="0.25">
      <c r="L108"/>
      <c r="M108"/>
      <c r="N108"/>
      <c r="O108"/>
      <c r="P108"/>
    </row>
    <row r="109" spans="12:16" x14ac:dyDescent="0.25">
      <c r="L109"/>
      <c r="M109"/>
      <c r="N109"/>
      <c r="O109"/>
      <c r="P109"/>
    </row>
    <row r="110" spans="12:16" x14ac:dyDescent="0.25">
      <c r="L110"/>
      <c r="M110"/>
      <c r="N110"/>
      <c r="O110"/>
      <c r="P110"/>
    </row>
    <row r="111" spans="12:16" x14ac:dyDescent="0.25">
      <c r="L111"/>
      <c r="M111"/>
      <c r="N111"/>
      <c r="O111"/>
      <c r="P111"/>
    </row>
    <row r="112" spans="12:16" x14ac:dyDescent="0.25">
      <c r="L112"/>
      <c r="M112"/>
      <c r="N112"/>
      <c r="O112"/>
      <c r="P112"/>
    </row>
    <row r="113" spans="12:16" x14ac:dyDescent="0.25">
      <c r="L113"/>
      <c r="M113"/>
      <c r="N113"/>
      <c r="O113"/>
      <c r="P113"/>
    </row>
    <row r="114" spans="12:16" x14ac:dyDescent="0.25">
      <c r="L114"/>
      <c r="M114"/>
      <c r="N114"/>
      <c r="O114"/>
      <c r="P114"/>
    </row>
    <row r="115" spans="12:16" x14ac:dyDescent="0.25">
      <c r="L115"/>
      <c r="M115"/>
      <c r="N115"/>
      <c r="O115"/>
      <c r="P115"/>
    </row>
    <row r="116" spans="12:16" x14ac:dyDescent="0.25">
      <c r="L116"/>
      <c r="M116"/>
      <c r="N116"/>
      <c r="O116"/>
      <c r="P116"/>
    </row>
    <row r="117" spans="12:16" x14ac:dyDescent="0.25">
      <c r="L117"/>
      <c r="M117"/>
      <c r="N117"/>
      <c r="O117"/>
      <c r="P117"/>
    </row>
    <row r="118" spans="12:16" x14ac:dyDescent="0.25">
      <c r="L118"/>
      <c r="M118"/>
      <c r="N118"/>
      <c r="O118"/>
      <c r="P118"/>
    </row>
    <row r="119" spans="12:16" x14ac:dyDescent="0.25">
      <c r="L119"/>
      <c r="M119"/>
      <c r="N119"/>
      <c r="O119"/>
      <c r="P119"/>
    </row>
    <row r="120" spans="12:16" x14ac:dyDescent="0.25">
      <c r="L120"/>
      <c r="M120"/>
      <c r="N120"/>
      <c r="O120"/>
      <c r="P120"/>
    </row>
    <row r="121" spans="12:16" x14ac:dyDescent="0.25">
      <c r="L121"/>
      <c r="M121"/>
      <c r="N121"/>
      <c r="O121"/>
      <c r="P121"/>
    </row>
    <row r="122" spans="12:16" x14ac:dyDescent="0.25">
      <c r="L122"/>
      <c r="M122"/>
      <c r="N122"/>
      <c r="O122"/>
      <c r="P122"/>
    </row>
    <row r="123" spans="12:16" x14ac:dyDescent="0.25">
      <c r="L123"/>
      <c r="M123"/>
      <c r="N123"/>
      <c r="O123"/>
      <c r="P123"/>
    </row>
    <row r="124" spans="12:16" x14ac:dyDescent="0.25">
      <c r="L124"/>
      <c r="M124"/>
      <c r="N124"/>
      <c r="O124"/>
      <c r="P124"/>
    </row>
    <row r="125" spans="12:16" x14ac:dyDescent="0.25">
      <c r="L125"/>
      <c r="M125"/>
      <c r="N125"/>
      <c r="O125"/>
      <c r="P125"/>
    </row>
    <row r="126" spans="12:16" x14ac:dyDescent="0.25">
      <c r="L126"/>
      <c r="M126"/>
      <c r="N126"/>
      <c r="O126"/>
      <c r="P126"/>
    </row>
    <row r="127" spans="12:16" x14ac:dyDescent="0.25">
      <c r="L127"/>
      <c r="M127"/>
      <c r="N127"/>
      <c r="O127"/>
      <c r="P127"/>
    </row>
    <row r="128" spans="12:16" x14ac:dyDescent="0.25">
      <c r="L128"/>
      <c r="M128"/>
      <c r="N128"/>
      <c r="O128"/>
      <c r="P128"/>
    </row>
    <row r="129" spans="12:16" x14ac:dyDescent="0.25">
      <c r="L129"/>
      <c r="M129"/>
      <c r="N129"/>
      <c r="O129"/>
      <c r="P129"/>
    </row>
    <row r="130" spans="12:16" x14ac:dyDescent="0.25">
      <c r="L130"/>
      <c r="M130"/>
      <c r="N130"/>
      <c r="O130"/>
      <c r="P130"/>
    </row>
    <row r="131" spans="12:16" x14ac:dyDescent="0.25">
      <c r="L131"/>
      <c r="M131"/>
      <c r="N131"/>
      <c r="O131"/>
      <c r="P131"/>
    </row>
    <row r="132" spans="12:16" x14ac:dyDescent="0.25">
      <c r="L132"/>
      <c r="M132"/>
      <c r="N132"/>
      <c r="O132"/>
      <c r="P132"/>
    </row>
    <row r="133" spans="12:16" x14ac:dyDescent="0.25">
      <c r="L133"/>
      <c r="M133"/>
      <c r="N133"/>
      <c r="O133"/>
      <c r="P133"/>
    </row>
    <row r="134" spans="12:16" x14ac:dyDescent="0.25">
      <c r="L134"/>
      <c r="M134"/>
      <c r="N134"/>
      <c r="O134"/>
      <c r="P134"/>
    </row>
    <row r="135" spans="12:16" x14ac:dyDescent="0.25">
      <c r="L135"/>
      <c r="M135"/>
      <c r="N135"/>
      <c r="O135"/>
      <c r="P135"/>
    </row>
    <row r="136" spans="12:16" x14ac:dyDescent="0.25">
      <c r="L136"/>
      <c r="M136"/>
      <c r="N136"/>
      <c r="O136"/>
      <c r="P136"/>
    </row>
    <row r="137" spans="12:16" x14ac:dyDescent="0.25">
      <c r="L137"/>
      <c r="M137"/>
      <c r="N137"/>
      <c r="O137"/>
      <c r="P137"/>
    </row>
    <row r="138" spans="12:16" x14ac:dyDescent="0.25">
      <c r="L138"/>
      <c r="M138"/>
      <c r="N138"/>
      <c r="O138"/>
      <c r="P138"/>
    </row>
    <row r="139" spans="12:16" x14ac:dyDescent="0.25">
      <c r="L139"/>
      <c r="M139"/>
      <c r="N139"/>
      <c r="O139"/>
      <c r="P139"/>
    </row>
    <row r="140" spans="12:16" x14ac:dyDescent="0.25">
      <c r="L140"/>
      <c r="M140"/>
      <c r="N140"/>
      <c r="O140"/>
      <c r="P140"/>
    </row>
    <row r="141" spans="12:16" x14ac:dyDescent="0.25">
      <c r="L141"/>
      <c r="M141"/>
      <c r="N141"/>
      <c r="O141"/>
      <c r="P141"/>
    </row>
    <row r="142" spans="12:16" x14ac:dyDescent="0.25">
      <c r="L142"/>
      <c r="M142"/>
      <c r="N142"/>
      <c r="O142"/>
      <c r="P142"/>
    </row>
    <row r="143" spans="12:16" x14ac:dyDescent="0.25">
      <c r="L143"/>
      <c r="M143"/>
      <c r="N143"/>
      <c r="O143"/>
      <c r="P143"/>
    </row>
    <row r="144" spans="12:16" x14ac:dyDescent="0.25">
      <c r="L144"/>
      <c r="M144"/>
      <c r="N144"/>
      <c r="O144"/>
      <c r="P144"/>
    </row>
    <row r="145" spans="12:16" x14ac:dyDescent="0.25">
      <c r="L145"/>
      <c r="M145"/>
      <c r="N145"/>
      <c r="O145"/>
      <c r="P145"/>
    </row>
    <row r="146" spans="12:16" x14ac:dyDescent="0.25">
      <c r="L146"/>
      <c r="M146"/>
      <c r="N146"/>
      <c r="O146"/>
      <c r="P146"/>
    </row>
    <row r="147" spans="12:16" x14ac:dyDescent="0.25">
      <c r="L147"/>
      <c r="M147"/>
      <c r="N147"/>
      <c r="O147"/>
      <c r="P147"/>
    </row>
    <row r="148" spans="12:16" x14ac:dyDescent="0.25">
      <c r="L148"/>
      <c r="M148"/>
      <c r="N148"/>
      <c r="O148"/>
      <c r="P148"/>
    </row>
    <row r="149" spans="12:16" x14ac:dyDescent="0.25">
      <c r="L149"/>
      <c r="M149"/>
      <c r="N149"/>
      <c r="O149"/>
      <c r="P149"/>
    </row>
    <row r="150" spans="12:16" x14ac:dyDescent="0.25">
      <c r="L150"/>
      <c r="M150"/>
      <c r="N150"/>
      <c r="O150"/>
      <c r="P150"/>
    </row>
    <row r="151" spans="12:16" x14ac:dyDescent="0.25">
      <c r="L151"/>
      <c r="M151"/>
      <c r="N151"/>
      <c r="O151"/>
      <c r="P151"/>
    </row>
    <row r="152" spans="12:16" x14ac:dyDescent="0.25">
      <c r="L152"/>
      <c r="M152"/>
      <c r="N152"/>
      <c r="O152"/>
      <c r="P152"/>
    </row>
    <row r="153" spans="12:16" x14ac:dyDescent="0.25">
      <c r="L153"/>
      <c r="M153"/>
      <c r="N153"/>
      <c r="O153"/>
      <c r="P153"/>
    </row>
    <row r="154" spans="12:16" x14ac:dyDescent="0.25">
      <c r="L154"/>
      <c r="M154"/>
      <c r="N154"/>
      <c r="O154"/>
      <c r="P154"/>
    </row>
    <row r="155" spans="12:16" x14ac:dyDescent="0.25">
      <c r="L155"/>
      <c r="M155"/>
      <c r="N155"/>
      <c r="O155"/>
      <c r="P155"/>
    </row>
    <row r="156" spans="12:16" x14ac:dyDescent="0.25">
      <c r="L156"/>
      <c r="M156"/>
      <c r="N156"/>
      <c r="O156"/>
      <c r="P156"/>
    </row>
    <row r="157" spans="12:16" x14ac:dyDescent="0.25">
      <c r="L157"/>
      <c r="M157"/>
      <c r="N157"/>
      <c r="O157"/>
      <c r="P157"/>
    </row>
    <row r="158" spans="12:16" x14ac:dyDescent="0.25">
      <c r="L158"/>
      <c r="M158"/>
      <c r="N158"/>
      <c r="O158"/>
      <c r="P158"/>
    </row>
    <row r="159" spans="12:16" x14ac:dyDescent="0.25">
      <c r="L159"/>
      <c r="M159"/>
      <c r="N159"/>
      <c r="O159"/>
      <c r="P159"/>
    </row>
    <row r="160" spans="12:16" x14ac:dyDescent="0.25">
      <c r="L160"/>
      <c r="M160"/>
      <c r="N160"/>
      <c r="O160"/>
      <c r="P160"/>
    </row>
    <row r="161" spans="12:16" x14ac:dyDescent="0.25">
      <c r="L161"/>
      <c r="M161"/>
      <c r="N161"/>
      <c r="O161"/>
      <c r="P161"/>
    </row>
    <row r="162" spans="12:16" x14ac:dyDescent="0.25">
      <c r="L162"/>
      <c r="M162"/>
      <c r="N162"/>
      <c r="O162"/>
      <c r="P162"/>
    </row>
    <row r="163" spans="12:16" x14ac:dyDescent="0.25">
      <c r="L163"/>
      <c r="M163"/>
      <c r="N163"/>
      <c r="O163"/>
      <c r="P163"/>
    </row>
    <row r="164" spans="12:16" x14ac:dyDescent="0.25">
      <c r="L164"/>
      <c r="M164"/>
      <c r="N164"/>
      <c r="O164"/>
      <c r="P164"/>
    </row>
    <row r="165" spans="12:16" x14ac:dyDescent="0.25">
      <c r="L165"/>
      <c r="M165"/>
      <c r="N165"/>
      <c r="O165"/>
      <c r="P165"/>
    </row>
    <row r="166" spans="12:16" x14ac:dyDescent="0.25">
      <c r="L166"/>
      <c r="M166"/>
      <c r="N166"/>
      <c r="O166"/>
      <c r="P166"/>
    </row>
    <row r="167" spans="12:16" x14ac:dyDescent="0.25">
      <c r="L167"/>
      <c r="M167"/>
      <c r="N167"/>
      <c r="O167"/>
      <c r="P167"/>
    </row>
    <row r="168" spans="12:16" x14ac:dyDescent="0.25">
      <c r="L168"/>
      <c r="M168"/>
      <c r="N168"/>
      <c r="O168"/>
      <c r="P168"/>
    </row>
    <row r="169" spans="12:16" x14ac:dyDescent="0.25">
      <c r="L169"/>
      <c r="M169"/>
      <c r="N169"/>
      <c r="O169"/>
      <c r="P169"/>
    </row>
    <row r="170" spans="12:16" x14ac:dyDescent="0.25">
      <c r="L170"/>
      <c r="M170"/>
      <c r="N170"/>
      <c r="O170"/>
      <c r="P170"/>
    </row>
    <row r="171" spans="12:16" x14ac:dyDescent="0.25">
      <c r="L171"/>
      <c r="M171"/>
      <c r="N171"/>
      <c r="O171"/>
      <c r="P171"/>
    </row>
    <row r="172" spans="12:16" x14ac:dyDescent="0.25">
      <c r="L172"/>
      <c r="M172"/>
      <c r="N172"/>
      <c r="O172"/>
      <c r="P172"/>
    </row>
    <row r="173" spans="12:16" x14ac:dyDescent="0.25">
      <c r="L173"/>
      <c r="M173"/>
      <c r="N173"/>
      <c r="O173"/>
      <c r="P173"/>
    </row>
    <row r="174" spans="12:16" x14ac:dyDescent="0.25">
      <c r="L174"/>
      <c r="M174"/>
      <c r="N174"/>
      <c r="O174"/>
      <c r="P174"/>
    </row>
    <row r="175" spans="12:16" x14ac:dyDescent="0.25">
      <c r="L175"/>
      <c r="M175"/>
      <c r="N175"/>
      <c r="O175"/>
      <c r="P175"/>
    </row>
    <row r="176" spans="12:16" x14ac:dyDescent="0.25">
      <c r="L176"/>
      <c r="M176"/>
      <c r="N176"/>
      <c r="O176"/>
      <c r="P176"/>
    </row>
    <row r="177" spans="12:16" x14ac:dyDescent="0.25">
      <c r="L177"/>
      <c r="M177"/>
      <c r="N177"/>
      <c r="O177"/>
      <c r="P177"/>
    </row>
    <row r="178" spans="12:16" x14ac:dyDescent="0.25">
      <c r="L178"/>
      <c r="M178"/>
      <c r="N178"/>
      <c r="O178"/>
      <c r="P178"/>
    </row>
    <row r="179" spans="12:16" x14ac:dyDescent="0.25">
      <c r="L179"/>
      <c r="M179"/>
      <c r="N179"/>
      <c r="O179"/>
      <c r="P179"/>
    </row>
    <row r="180" spans="12:16" x14ac:dyDescent="0.25">
      <c r="L180"/>
      <c r="M180"/>
      <c r="N180"/>
      <c r="O180"/>
      <c r="P180"/>
    </row>
    <row r="181" spans="12:16" x14ac:dyDescent="0.25">
      <c r="L181"/>
      <c r="M181"/>
      <c r="N181"/>
      <c r="O181"/>
      <c r="P181"/>
    </row>
    <row r="182" spans="12:16" x14ac:dyDescent="0.25">
      <c r="L182"/>
      <c r="M182"/>
      <c r="N182"/>
      <c r="O182"/>
      <c r="P182"/>
    </row>
    <row r="183" spans="12:16" x14ac:dyDescent="0.25">
      <c r="L183"/>
      <c r="M183"/>
      <c r="N183"/>
      <c r="O183"/>
      <c r="P183"/>
    </row>
    <row r="184" spans="12:16" x14ac:dyDescent="0.25">
      <c r="L184"/>
      <c r="M184"/>
      <c r="N184"/>
      <c r="O184"/>
      <c r="P184"/>
    </row>
    <row r="185" spans="12:16" x14ac:dyDescent="0.25">
      <c r="L185"/>
      <c r="M185"/>
      <c r="N185"/>
      <c r="O185"/>
      <c r="P185"/>
    </row>
    <row r="186" spans="12:16" x14ac:dyDescent="0.25">
      <c r="L186"/>
      <c r="M186"/>
      <c r="N186"/>
      <c r="O186"/>
      <c r="P186"/>
    </row>
    <row r="187" spans="12:16" x14ac:dyDescent="0.25">
      <c r="L187"/>
      <c r="M187"/>
      <c r="N187"/>
      <c r="O187"/>
      <c r="P187"/>
    </row>
    <row r="188" spans="12:16" x14ac:dyDescent="0.25">
      <c r="L188"/>
      <c r="M188"/>
      <c r="N188"/>
      <c r="O188"/>
      <c r="P188"/>
    </row>
    <row r="189" spans="12:16" x14ac:dyDescent="0.25">
      <c r="L189"/>
      <c r="M189"/>
      <c r="N189"/>
      <c r="O189"/>
      <c r="P189"/>
    </row>
    <row r="190" spans="12:16" x14ac:dyDescent="0.25">
      <c r="L190"/>
      <c r="M190"/>
      <c r="N190"/>
      <c r="O190"/>
      <c r="P190"/>
    </row>
    <row r="191" spans="12:16" x14ac:dyDescent="0.25">
      <c r="L191"/>
      <c r="M191"/>
      <c r="N191"/>
      <c r="O191"/>
      <c r="P191"/>
    </row>
    <row r="192" spans="12:16" x14ac:dyDescent="0.25">
      <c r="L192"/>
      <c r="M192"/>
      <c r="N192"/>
      <c r="O192"/>
      <c r="P192"/>
    </row>
    <row r="193" spans="12:16" x14ac:dyDescent="0.25">
      <c r="L193"/>
      <c r="M193"/>
      <c r="N193"/>
      <c r="O193"/>
      <c r="P193"/>
    </row>
    <row r="194" spans="12:16" x14ac:dyDescent="0.25">
      <c r="L194"/>
      <c r="M194"/>
      <c r="N194"/>
      <c r="O194"/>
      <c r="P194"/>
    </row>
    <row r="195" spans="12:16" x14ac:dyDescent="0.25">
      <c r="L195"/>
      <c r="M195"/>
      <c r="N195"/>
      <c r="O195"/>
      <c r="P195"/>
    </row>
    <row r="196" spans="12:16" x14ac:dyDescent="0.25">
      <c r="L196"/>
      <c r="M196"/>
      <c r="N196"/>
      <c r="O196"/>
      <c r="P196"/>
    </row>
    <row r="197" spans="12:16" x14ac:dyDescent="0.25">
      <c r="L197"/>
      <c r="M197"/>
      <c r="N197"/>
      <c r="O197"/>
      <c r="P197"/>
    </row>
    <row r="198" spans="12:16" x14ac:dyDescent="0.25">
      <c r="L198"/>
      <c r="M198"/>
      <c r="N198"/>
      <c r="O198"/>
      <c r="P198"/>
    </row>
    <row r="199" spans="12:16" x14ac:dyDescent="0.25">
      <c r="L199"/>
      <c r="M199"/>
      <c r="N199"/>
      <c r="O199"/>
      <c r="P199"/>
    </row>
    <row r="200" spans="12:16" x14ac:dyDescent="0.25">
      <c r="L200"/>
      <c r="M200"/>
      <c r="N200"/>
      <c r="O200"/>
      <c r="P200"/>
    </row>
    <row r="201" spans="12:16" x14ac:dyDescent="0.25">
      <c r="L201"/>
      <c r="M201"/>
      <c r="N201"/>
      <c r="O201"/>
      <c r="P201"/>
    </row>
    <row r="202" spans="12:16" x14ac:dyDescent="0.25">
      <c r="L202"/>
      <c r="M202"/>
      <c r="N202"/>
      <c r="O202"/>
      <c r="P202"/>
    </row>
    <row r="203" spans="12:16" x14ac:dyDescent="0.25">
      <c r="L203"/>
      <c r="M203"/>
      <c r="N203"/>
      <c r="O203"/>
      <c r="P203"/>
    </row>
    <row r="204" spans="12:16" x14ac:dyDescent="0.25">
      <c r="L204"/>
      <c r="M204"/>
      <c r="N204"/>
      <c r="O204"/>
      <c r="P204"/>
    </row>
    <row r="205" spans="12:16" x14ac:dyDescent="0.25">
      <c r="L205"/>
      <c r="M205"/>
      <c r="N205"/>
      <c r="O205"/>
      <c r="P205"/>
    </row>
    <row r="206" spans="12:16" x14ac:dyDescent="0.25">
      <c r="L206"/>
      <c r="M206"/>
      <c r="N206"/>
      <c r="O206"/>
      <c r="P206"/>
    </row>
    <row r="207" spans="12:16" x14ac:dyDescent="0.25">
      <c r="L207"/>
      <c r="M207"/>
      <c r="N207"/>
      <c r="O207"/>
      <c r="P207"/>
    </row>
    <row r="208" spans="12:16" x14ac:dyDescent="0.25">
      <c r="L208"/>
      <c r="M208"/>
      <c r="N208"/>
      <c r="O208"/>
      <c r="P208"/>
    </row>
    <row r="209" spans="12:16" x14ac:dyDescent="0.25">
      <c r="L209"/>
      <c r="M209"/>
      <c r="N209"/>
      <c r="O209"/>
      <c r="P209"/>
    </row>
    <row r="210" spans="12:16" x14ac:dyDescent="0.25">
      <c r="L210"/>
      <c r="M210"/>
      <c r="N210"/>
      <c r="O210"/>
      <c r="P210"/>
    </row>
    <row r="211" spans="12:16" x14ac:dyDescent="0.25">
      <c r="L211"/>
      <c r="M211"/>
      <c r="N211"/>
      <c r="O211"/>
      <c r="P211"/>
    </row>
    <row r="212" spans="12:16" x14ac:dyDescent="0.25">
      <c r="L212"/>
      <c r="M212"/>
      <c r="N212"/>
      <c r="O212"/>
      <c r="P212"/>
    </row>
    <row r="213" spans="12:16" x14ac:dyDescent="0.25">
      <c r="L213"/>
      <c r="M213"/>
      <c r="N213"/>
      <c r="O213"/>
      <c r="P213"/>
    </row>
    <row r="214" spans="12:16" x14ac:dyDescent="0.25">
      <c r="L214"/>
      <c r="M214"/>
      <c r="N214"/>
      <c r="O214"/>
      <c r="P214"/>
    </row>
    <row r="215" spans="12:16" x14ac:dyDescent="0.25">
      <c r="L215"/>
      <c r="M215"/>
      <c r="N215"/>
      <c r="O215"/>
      <c r="P215"/>
    </row>
    <row r="216" spans="12:16" x14ac:dyDescent="0.25">
      <c r="L216"/>
      <c r="M216"/>
      <c r="N216"/>
      <c r="O216"/>
      <c r="P216"/>
    </row>
    <row r="217" spans="12:16" x14ac:dyDescent="0.25">
      <c r="L217"/>
      <c r="M217"/>
      <c r="N217"/>
      <c r="O217"/>
      <c r="P217"/>
    </row>
    <row r="218" spans="12:16" x14ac:dyDescent="0.25">
      <c r="L218"/>
      <c r="M218"/>
      <c r="N218"/>
      <c r="O218"/>
      <c r="P218"/>
    </row>
    <row r="219" spans="12:16" x14ac:dyDescent="0.25">
      <c r="L219"/>
      <c r="M219"/>
      <c r="N219"/>
      <c r="O219"/>
      <c r="P219"/>
    </row>
    <row r="220" spans="12:16" x14ac:dyDescent="0.25">
      <c r="L220"/>
      <c r="M220"/>
      <c r="N220"/>
      <c r="O220"/>
      <c r="P220"/>
    </row>
    <row r="221" spans="12:16" x14ac:dyDescent="0.25">
      <c r="L221"/>
      <c r="M221"/>
      <c r="N221"/>
      <c r="O221"/>
      <c r="P221"/>
    </row>
    <row r="222" spans="12:16" x14ac:dyDescent="0.25">
      <c r="L222"/>
      <c r="M222"/>
      <c r="N222"/>
      <c r="O222"/>
      <c r="P222"/>
    </row>
    <row r="223" spans="12:16" x14ac:dyDescent="0.25">
      <c r="L223"/>
      <c r="M223"/>
      <c r="N223"/>
      <c r="O223"/>
      <c r="P223"/>
    </row>
    <row r="224" spans="12:16" x14ac:dyDescent="0.25">
      <c r="L224"/>
      <c r="M224"/>
      <c r="N224"/>
      <c r="O224"/>
      <c r="P224"/>
    </row>
    <row r="225" spans="12:16" x14ac:dyDescent="0.25">
      <c r="L225"/>
      <c r="M225"/>
      <c r="N225"/>
      <c r="O225"/>
      <c r="P225"/>
    </row>
    <row r="226" spans="12:16" x14ac:dyDescent="0.25">
      <c r="L226"/>
      <c r="M226"/>
      <c r="N226"/>
      <c r="O226"/>
      <c r="P226"/>
    </row>
    <row r="227" spans="12:16" x14ac:dyDescent="0.25">
      <c r="L227"/>
      <c r="M227"/>
      <c r="N227"/>
      <c r="O227"/>
      <c r="P227"/>
    </row>
    <row r="228" spans="12:16" x14ac:dyDescent="0.25">
      <c r="L228"/>
      <c r="M228"/>
      <c r="N228"/>
      <c r="O228"/>
      <c r="P228"/>
    </row>
    <row r="229" spans="12:16" x14ac:dyDescent="0.25">
      <c r="L229"/>
      <c r="M229"/>
      <c r="N229"/>
      <c r="O229"/>
      <c r="P229"/>
    </row>
    <row r="230" spans="12:16" x14ac:dyDescent="0.25">
      <c r="L230"/>
      <c r="M230"/>
      <c r="N230"/>
      <c r="O230"/>
      <c r="P230"/>
    </row>
    <row r="231" spans="12:16" x14ac:dyDescent="0.25">
      <c r="L231"/>
      <c r="M231"/>
      <c r="N231"/>
      <c r="O231"/>
      <c r="P231"/>
    </row>
    <row r="232" spans="12:16" x14ac:dyDescent="0.25">
      <c r="L232"/>
      <c r="M232"/>
      <c r="N232"/>
      <c r="O232"/>
      <c r="P232"/>
    </row>
    <row r="233" spans="12:16" x14ac:dyDescent="0.25">
      <c r="L233"/>
      <c r="M233"/>
      <c r="N233"/>
      <c r="O233"/>
      <c r="P233"/>
    </row>
    <row r="234" spans="12:16" x14ac:dyDescent="0.25">
      <c r="L234"/>
      <c r="M234"/>
      <c r="N234"/>
      <c r="O234"/>
      <c r="P234"/>
    </row>
    <row r="235" spans="12:16" x14ac:dyDescent="0.25">
      <c r="L235"/>
      <c r="M235"/>
      <c r="N235"/>
      <c r="O235"/>
      <c r="P235"/>
    </row>
    <row r="236" spans="12:16" x14ac:dyDescent="0.25">
      <c r="L236"/>
      <c r="M236"/>
      <c r="N236"/>
      <c r="O236"/>
      <c r="P236"/>
    </row>
    <row r="237" spans="12:16" x14ac:dyDescent="0.25">
      <c r="L237"/>
      <c r="M237"/>
      <c r="N237"/>
      <c r="O237"/>
      <c r="P237"/>
    </row>
    <row r="238" spans="12:16" x14ac:dyDescent="0.25">
      <c r="L238"/>
      <c r="M238"/>
      <c r="N238"/>
      <c r="O238"/>
      <c r="P238"/>
    </row>
    <row r="239" spans="12:16" x14ac:dyDescent="0.25">
      <c r="L239"/>
      <c r="M239"/>
      <c r="N239"/>
      <c r="O239"/>
      <c r="P239"/>
    </row>
    <row r="240" spans="12:16" x14ac:dyDescent="0.25">
      <c r="L240"/>
      <c r="M240"/>
      <c r="N240"/>
      <c r="O240"/>
      <c r="P240"/>
    </row>
    <row r="241" spans="12:16" x14ac:dyDescent="0.25">
      <c r="L241"/>
      <c r="M241"/>
      <c r="N241"/>
      <c r="O241"/>
      <c r="P241"/>
    </row>
    <row r="242" spans="12:16" x14ac:dyDescent="0.25">
      <c r="L242"/>
      <c r="M242"/>
      <c r="N242"/>
      <c r="O242"/>
      <c r="P242"/>
    </row>
    <row r="243" spans="12:16" x14ac:dyDescent="0.25">
      <c r="L243"/>
      <c r="M243"/>
      <c r="N243"/>
      <c r="O243"/>
      <c r="P243"/>
    </row>
    <row r="244" spans="12:16" x14ac:dyDescent="0.25">
      <c r="L244"/>
      <c r="M244"/>
      <c r="N244"/>
      <c r="O244"/>
      <c r="P244"/>
    </row>
    <row r="245" spans="12:16" x14ac:dyDescent="0.25">
      <c r="L245"/>
      <c r="M245"/>
      <c r="N245"/>
      <c r="O245"/>
      <c r="P245"/>
    </row>
    <row r="246" spans="12:16" x14ac:dyDescent="0.25">
      <c r="L246"/>
      <c r="M246"/>
      <c r="N246"/>
      <c r="O246"/>
      <c r="P246"/>
    </row>
  </sheetData>
  <mergeCells count="4">
    <mergeCell ref="D2:G2"/>
    <mergeCell ref="C15:G15"/>
    <mergeCell ref="J2:Q2"/>
    <mergeCell ref="J25:Q25"/>
  </mergeCells>
  <pageMargins left="0.511811024" right="0.511811024" top="0.78740157499999996" bottom="0.78740157499999996" header="0.31496062000000002" footer="0.31496062000000002"/>
  <pageSetup paperSize="9" orientation="portrait" verticalDpi="0" r:id="rId5"/>
  <drawing r:id="rId6"/>
  <extLst>
    <ext xmlns:x14="http://schemas.microsoft.com/office/spreadsheetml/2009/9/main" uri="{A8765BA9-456A-4dab-B4F3-ACF838C121DE}">
      <x14:slicerList>
        <x14:slicer r:id="rId7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B8283-5399-4DAC-97E7-45B28F5BB077}">
  <sheetPr codeName="Planilha1"/>
  <dimension ref="A1:U176"/>
  <sheetViews>
    <sheetView topLeftCell="A2" workbookViewId="0">
      <pane ySplit="3" topLeftCell="A53" activePane="bottomLeft" state="frozen"/>
      <selection activeCell="A2" sqref="A2"/>
      <selection pane="bottomLeft" activeCell="G84" sqref="G84"/>
    </sheetView>
  </sheetViews>
  <sheetFormatPr defaultRowHeight="15" x14ac:dyDescent="0.25"/>
  <cols>
    <col min="1" max="2" width="9.140625" style="53"/>
    <col min="3" max="3" width="10.7109375" style="53" customWidth="1"/>
    <col min="4" max="4" width="10.85546875" style="53" customWidth="1"/>
    <col min="5" max="5" width="2.5703125" customWidth="1"/>
    <col min="6" max="6" width="9" style="8" customWidth="1"/>
    <col min="7" max="7" width="31" style="1" customWidth="1"/>
    <col min="8" max="8" width="11.140625" style="1" customWidth="1"/>
    <col min="9" max="9" width="15.5703125" style="5" hidden="1" customWidth="1"/>
    <col min="10" max="10" width="17.85546875" style="1" customWidth="1"/>
    <col min="11" max="11" width="17.42578125" style="5" customWidth="1"/>
    <col min="12" max="12" width="21.5703125" style="5" bestFit="1" customWidth="1"/>
    <col min="13" max="13" width="17.42578125" style="1" customWidth="1"/>
    <col min="14" max="14" width="16.42578125" style="5" customWidth="1"/>
    <col min="15" max="15" width="21.42578125" style="11" customWidth="1"/>
    <col min="16" max="16" width="1.85546875" style="11" customWidth="1"/>
    <col min="17" max="17" width="6.28515625" hidden="1" customWidth="1"/>
    <col min="18" max="18" width="29.85546875" bestFit="1" customWidth="1"/>
    <col min="19" max="20" width="16.85546875" bestFit="1" customWidth="1"/>
    <col min="21" max="21" width="18" bestFit="1" customWidth="1"/>
    <col min="22" max="56" width="25.7109375" bestFit="1" customWidth="1"/>
    <col min="57" max="57" width="10" bestFit="1" customWidth="1"/>
  </cols>
  <sheetData>
    <row r="1" spans="2:21" hidden="1" x14ac:dyDescent="0.25">
      <c r="Q1" s="4"/>
    </row>
    <row r="2" spans="2:21" s="53" customFormat="1" x14ac:dyDescent="0.25">
      <c r="F2" s="167" t="s">
        <v>228</v>
      </c>
      <c r="G2" s="167"/>
      <c r="H2" s="167"/>
      <c r="I2" s="167"/>
      <c r="J2" s="167"/>
      <c r="K2" s="167"/>
      <c r="L2" s="167"/>
      <c r="M2" s="167"/>
      <c r="N2" s="167"/>
      <c r="O2" s="11"/>
      <c r="P2" s="11"/>
      <c r="Q2" s="4"/>
      <c r="R2" s="171" t="s">
        <v>229</v>
      </c>
      <c r="S2" s="171"/>
      <c r="T2" s="171"/>
      <c r="U2" s="171"/>
    </row>
    <row r="3" spans="2:21" s="53" customFormat="1" x14ac:dyDescent="0.25">
      <c r="F3" s="8"/>
      <c r="G3" s="5"/>
      <c r="H3" s="5"/>
      <c r="I3" s="5"/>
      <c r="J3" s="5"/>
      <c r="K3" s="5"/>
      <c r="L3" s="5"/>
      <c r="M3" s="5"/>
      <c r="N3" s="5"/>
      <c r="O3" s="11"/>
      <c r="P3" s="11"/>
      <c r="Q3" s="4"/>
    </row>
    <row r="4" spans="2:21" ht="45" customHeight="1" x14ac:dyDescent="0.25">
      <c r="F4" s="13" t="s">
        <v>217</v>
      </c>
      <c r="G4" s="14" t="s">
        <v>0</v>
      </c>
      <c r="H4" s="14" t="s">
        <v>2</v>
      </c>
      <c r="I4" s="14" t="s">
        <v>154</v>
      </c>
      <c r="J4" s="14" t="s">
        <v>3</v>
      </c>
      <c r="K4" s="14" t="s">
        <v>20</v>
      </c>
      <c r="L4" s="14" t="s">
        <v>290</v>
      </c>
      <c r="M4" s="14" t="s">
        <v>21</v>
      </c>
      <c r="N4" s="14" t="s">
        <v>230</v>
      </c>
      <c r="Q4" s="4"/>
      <c r="S4" s="9" t="s">
        <v>226</v>
      </c>
    </row>
    <row r="5" spans="2:21" ht="12.95" customHeight="1" x14ac:dyDescent="0.25">
      <c r="F5" s="15" t="s">
        <v>141</v>
      </c>
      <c r="G5" s="16" t="s">
        <v>23</v>
      </c>
      <c r="H5" s="17" t="s">
        <v>153</v>
      </c>
      <c r="I5" s="18" t="s">
        <v>24</v>
      </c>
      <c r="J5" s="19">
        <v>1801472.7</v>
      </c>
      <c r="K5" s="20">
        <f>SUMPRODUCT((AnalíticoNC!$C$3:$C$917=SintéticoNC!F5)*(AnalíticoNC!$H$3:$H$917))</f>
        <v>0</v>
      </c>
      <c r="L5" s="20">
        <f>SUMPRODUCT((AnalíticoNC!$C$3:$C$917=SintéticoNC!F5)*(AnalíticoNC!$G$3:$G$917))</f>
        <v>12561.290827833</v>
      </c>
      <c r="M5" s="26">
        <f>J5+L5-K5</f>
        <v>1814033.9908278328</v>
      </c>
      <c r="N5" s="134">
        <f>(K5/(J5+L5))</f>
        <v>0</v>
      </c>
      <c r="R5" s="12" t="s">
        <v>0</v>
      </c>
      <c r="S5" s="5" t="s">
        <v>153</v>
      </c>
      <c r="T5" s="5" t="s">
        <v>216</v>
      </c>
      <c r="U5" s="39" t="s">
        <v>220</v>
      </c>
    </row>
    <row r="6" spans="2:21" ht="12.95" customHeight="1" x14ac:dyDescent="0.25">
      <c r="B6" s="160" t="s">
        <v>287</v>
      </c>
      <c r="C6" s="160"/>
      <c r="F6" s="21" t="s">
        <v>142</v>
      </c>
      <c r="G6" s="22" t="s">
        <v>23</v>
      </c>
      <c r="H6" s="23" t="s">
        <v>153</v>
      </c>
      <c r="I6" s="24" t="s">
        <v>25</v>
      </c>
      <c r="J6" s="25">
        <v>524400</v>
      </c>
      <c r="K6" s="26">
        <f>SUMPRODUCT((AnalíticoNC!$C$3:$C$917=SintéticoNC!F6)*(AnalíticoNC!$H$3:$H$917))</f>
        <v>0</v>
      </c>
      <c r="L6" s="26">
        <f>SUMPRODUCT((AnalíticoNC!$C$3:$C$917=SintéticoNC!F6)*(AnalíticoNC!$G$3:$G$917))</f>
        <v>3656.5310759999998</v>
      </c>
      <c r="M6" s="26">
        <f t="shared" ref="M6:M70" si="0">J6+L6-K6</f>
        <v>528056.53107599996</v>
      </c>
      <c r="N6" s="134">
        <f>(K6/(J6+L6))</f>
        <v>0</v>
      </c>
      <c r="R6" s="2" t="s">
        <v>23</v>
      </c>
      <c r="S6" s="8"/>
      <c r="T6" s="8"/>
      <c r="U6" s="8"/>
    </row>
    <row r="7" spans="2:21" ht="12.95" customHeight="1" x14ac:dyDescent="0.25">
      <c r="B7" s="165">
        <f>SUM(J5:J89)</f>
        <v>104016702.2</v>
      </c>
      <c r="C7" s="166"/>
      <c r="F7" s="21" t="s">
        <v>143</v>
      </c>
      <c r="G7" s="22" t="s">
        <v>23</v>
      </c>
      <c r="H7" s="23" t="s">
        <v>153</v>
      </c>
      <c r="I7" s="24" t="s">
        <v>26</v>
      </c>
      <c r="J7" s="25">
        <v>5225812</v>
      </c>
      <c r="K7" s="26">
        <f>SUMPRODUCT((AnalíticoNC!$C$3:$C$917=SintéticoNC!F7)*(AnalíticoNC!$H$3:$H$917))</f>
        <v>0</v>
      </c>
      <c r="L7" s="26">
        <f>SUMPRODUCT((AnalíticoNC!$C$3:$C$917=SintéticoNC!F7)*(AnalíticoNC!$G$3:$G$917))</f>
        <v>36438.48965548</v>
      </c>
      <c r="M7" s="26">
        <f t="shared" si="0"/>
        <v>5262250.4896554798</v>
      </c>
      <c r="N7" s="134">
        <f t="shared" ref="N7:N72" si="1">(K7/(J7+L7))</f>
        <v>0</v>
      </c>
      <c r="R7" s="10" t="s">
        <v>222</v>
      </c>
      <c r="S7" s="3"/>
      <c r="T7" s="3"/>
      <c r="U7" s="3"/>
    </row>
    <row r="8" spans="2:21" ht="12.95" customHeight="1" x14ac:dyDescent="0.25">
      <c r="F8" s="21" t="s">
        <v>144</v>
      </c>
      <c r="G8" s="22" t="s">
        <v>27</v>
      </c>
      <c r="H8" s="23" t="s">
        <v>153</v>
      </c>
      <c r="I8" s="24" t="s">
        <v>28</v>
      </c>
      <c r="J8" s="25">
        <v>13278264.4</v>
      </c>
      <c r="K8" s="26">
        <f>SUMPRODUCT((AnalíticoNC!$C$3:$C$917=SintéticoNC!F8)*(AnalíticoNC!$H$3:$H$917))</f>
        <v>0</v>
      </c>
      <c r="L8" s="26">
        <f>SUMPRODUCT((AnalíticoNC!$C$3:$C$917=SintéticoNC!F8)*(AnalíticoNC!$G$3:$G$917))</f>
        <v>92586.54922567599</v>
      </c>
      <c r="M8" s="26">
        <f t="shared" si="0"/>
        <v>13370850.949225677</v>
      </c>
      <c r="N8" s="134">
        <f t="shared" si="1"/>
        <v>0</v>
      </c>
      <c r="R8" s="10" t="s">
        <v>221</v>
      </c>
      <c r="S8" s="3">
        <v>0</v>
      </c>
      <c r="T8" s="3">
        <v>0</v>
      </c>
      <c r="U8" s="3">
        <v>0</v>
      </c>
    </row>
    <row r="9" spans="2:21" ht="12.95" customHeight="1" x14ac:dyDescent="0.25">
      <c r="B9" s="160" t="s">
        <v>20</v>
      </c>
      <c r="C9" s="160"/>
      <c r="F9" s="21" t="s">
        <v>145</v>
      </c>
      <c r="G9" s="22" t="s">
        <v>29</v>
      </c>
      <c r="H9" s="23" t="s">
        <v>153</v>
      </c>
      <c r="I9" s="24" t="s">
        <v>30</v>
      </c>
      <c r="J9" s="25">
        <v>1544762</v>
      </c>
      <c r="K9" s="26">
        <f>SUMPRODUCT((AnalíticoNC!$C$3:$C$917=SintéticoNC!F9)*(AnalíticoNC!$H$3:$H$917))</f>
        <v>0</v>
      </c>
      <c r="L9" s="26">
        <f>SUMPRODUCT((AnalíticoNC!$C$3:$C$917=SintéticoNC!F9)*(AnalíticoNC!$G$3:$G$917))</f>
        <v>10771.301025979999</v>
      </c>
      <c r="M9" s="26">
        <f t="shared" si="0"/>
        <v>1555533.3010259799</v>
      </c>
      <c r="N9" s="134">
        <f t="shared" si="1"/>
        <v>0</v>
      </c>
      <c r="R9" s="10" t="s">
        <v>223</v>
      </c>
      <c r="S9" s="3">
        <v>7604341.0115593132</v>
      </c>
      <c r="T9" s="3">
        <v>1543689.2870700001</v>
      </c>
      <c r="U9" s="3">
        <v>9148030.2986293137</v>
      </c>
    </row>
    <row r="10" spans="2:21" ht="12.95" customHeight="1" x14ac:dyDescent="0.25">
      <c r="B10" s="165">
        <f>SUM(K5:K89)</f>
        <v>0</v>
      </c>
      <c r="C10" s="166"/>
      <c r="F10" s="21" t="s">
        <v>146</v>
      </c>
      <c r="G10" s="22" t="s">
        <v>31</v>
      </c>
      <c r="H10" s="23" t="s">
        <v>153</v>
      </c>
      <c r="I10" s="24" t="s">
        <v>32</v>
      </c>
      <c r="J10" s="25">
        <v>1411014.44</v>
      </c>
      <c r="K10" s="26">
        <f>SUMPRODUCT((AnalíticoNC!$C$3:$C$917=SintéticoNC!F10)*(AnalíticoNC!$H$3:$H$917))</f>
        <v>0</v>
      </c>
      <c r="L10" s="26">
        <f>SUMPRODUCT((AnalíticoNC!$C$3:$C$917=SintéticoNC!F10)*(AnalíticoNC!$G$3:$G$917))</f>
        <v>9838.7073770875995</v>
      </c>
      <c r="M10" s="26">
        <f t="shared" si="0"/>
        <v>1420853.1473770875</v>
      </c>
      <c r="N10" s="134">
        <f t="shared" si="1"/>
        <v>0</v>
      </c>
      <c r="R10" s="2" t="s">
        <v>27</v>
      </c>
      <c r="S10" s="8"/>
      <c r="T10" s="8"/>
      <c r="U10" s="8"/>
    </row>
    <row r="11" spans="2:21" ht="12.95" customHeight="1" x14ac:dyDescent="0.25">
      <c r="F11" s="21" t="s">
        <v>147</v>
      </c>
      <c r="G11" s="22" t="s">
        <v>31</v>
      </c>
      <c r="H11" s="23" t="s">
        <v>153</v>
      </c>
      <c r="I11" s="24" t="s">
        <v>33</v>
      </c>
      <c r="J11" s="25">
        <v>2245000</v>
      </c>
      <c r="K11" s="26">
        <f>SUMPRODUCT((AnalíticoNC!$C$3:$C$917=SintéticoNC!F11)*(AnalíticoNC!$H$3:$H$917))</f>
        <v>0</v>
      </c>
      <c r="L11" s="26">
        <f>SUMPRODUCT((AnalíticoNC!$C$3:$C$917=SintéticoNC!F11)*(AnalíticoNC!$G$3:$G$917))</f>
        <v>15653.913549999999</v>
      </c>
      <c r="M11" s="26">
        <f t="shared" si="0"/>
        <v>2260653.9135500002</v>
      </c>
      <c r="N11" s="134">
        <f t="shared" si="1"/>
        <v>0</v>
      </c>
      <c r="R11" s="10" t="s">
        <v>222</v>
      </c>
      <c r="S11" s="3"/>
      <c r="T11" s="3"/>
      <c r="U11" s="3"/>
    </row>
    <row r="12" spans="2:21" ht="12.95" customHeight="1" x14ac:dyDescent="0.25">
      <c r="B12" s="160" t="s">
        <v>19</v>
      </c>
      <c r="C12" s="160"/>
      <c r="F12" s="21" t="s">
        <v>148</v>
      </c>
      <c r="G12" s="22" t="s">
        <v>31</v>
      </c>
      <c r="H12" s="23" t="s">
        <v>153</v>
      </c>
      <c r="I12" s="24" t="s">
        <v>34</v>
      </c>
      <c r="J12" s="25">
        <v>2752000</v>
      </c>
      <c r="K12" s="26">
        <f>SUMPRODUCT((AnalíticoNC!$C$3:$C$917=SintéticoNC!F12)*(AnalíticoNC!$H$3:$H$917))</f>
        <v>0</v>
      </c>
      <c r="L12" s="26">
        <f>SUMPRODUCT((AnalíticoNC!$C$3:$C$917=SintéticoNC!F12)*(AnalíticoNC!$G$3:$G$917))</f>
        <v>19189.11808</v>
      </c>
      <c r="M12" s="26">
        <f t="shared" si="0"/>
        <v>2771189.1180799999</v>
      </c>
      <c r="N12" s="134">
        <f t="shared" si="1"/>
        <v>0</v>
      </c>
      <c r="R12" s="10" t="s">
        <v>221</v>
      </c>
      <c r="S12" s="3">
        <v>0</v>
      </c>
      <c r="T12" s="3">
        <v>0</v>
      </c>
      <c r="U12" s="3">
        <v>0</v>
      </c>
    </row>
    <row r="13" spans="2:21" ht="12.95" customHeight="1" x14ac:dyDescent="0.25">
      <c r="B13" s="165">
        <f>SUM(L5:L89)</f>
        <v>702008.94816792314</v>
      </c>
      <c r="C13" s="166"/>
      <c r="F13" s="21" t="s">
        <v>149</v>
      </c>
      <c r="G13" s="22" t="s">
        <v>35</v>
      </c>
      <c r="H13" s="23" t="s">
        <v>153</v>
      </c>
      <c r="I13" s="24" t="s">
        <v>36</v>
      </c>
      <c r="J13" s="25">
        <v>750000</v>
      </c>
      <c r="K13" s="26">
        <f>SUMPRODUCT((AnalíticoNC!$C$3:$C$917=SintéticoNC!F13)*(AnalíticoNC!$H$3:$H$917))</f>
        <v>0</v>
      </c>
      <c r="L13" s="26">
        <f>SUMPRODUCT((AnalíticoNC!$C$3:$C$917=SintéticoNC!F13)*(AnalíticoNC!$G$3:$G$917))</f>
        <v>5229.5924999999997</v>
      </c>
      <c r="M13" s="26">
        <f t="shared" si="0"/>
        <v>755229.59250000003</v>
      </c>
      <c r="N13" s="134">
        <f t="shared" si="1"/>
        <v>0</v>
      </c>
      <c r="R13" s="10" t="s">
        <v>223</v>
      </c>
      <c r="S13" s="3">
        <v>13370850.949225677</v>
      </c>
      <c r="T13" s="3">
        <v>5236258.5080000004</v>
      </c>
      <c r="U13" s="3">
        <v>18607109.457225677</v>
      </c>
    </row>
    <row r="14" spans="2:21" ht="12.95" customHeight="1" x14ac:dyDescent="0.25">
      <c r="F14" s="21" t="s">
        <v>152</v>
      </c>
      <c r="G14" s="22" t="s">
        <v>37</v>
      </c>
      <c r="H14" s="23" t="s">
        <v>153</v>
      </c>
      <c r="I14" s="24" t="s">
        <v>38</v>
      </c>
      <c r="J14" s="25">
        <v>490000</v>
      </c>
      <c r="K14" s="26">
        <f>SUMPRODUCT((AnalíticoNC!$C$3:$C$917=SintéticoNC!F14)*(AnalíticoNC!$H$3:$H$917))</f>
        <v>0</v>
      </c>
      <c r="L14" s="26">
        <f>SUMPRODUCT((AnalíticoNC!$C$3:$C$917=SintéticoNC!F14)*(AnalíticoNC!$G$3:$G$917))</f>
        <v>3416.6670999999997</v>
      </c>
      <c r="M14" s="26">
        <f t="shared" si="0"/>
        <v>493416.66710000002</v>
      </c>
      <c r="N14" s="134">
        <f t="shared" si="1"/>
        <v>0</v>
      </c>
      <c r="R14" s="2" t="s">
        <v>29</v>
      </c>
      <c r="S14" s="8"/>
      <c r="T14" s="8"/>
      <c r="U14" s="8"/>
    </row>
    <row r="15" spans="2:21" ht="12.95" customHeight="1" x14ac:dyDescent="0.25">
      <c r="B15" s="160" t="s">
        <v>288</v>
      </c>
      <c r="C15" s="160"/>
      <c r="F15" s="21" t="s">
        <v>151</v>
      </c>
      <c r="G15" s="22" t="s">
        <v>37</v>
      </c>
      <c r="H15" s="23" t="s">
        <v>153</v>
      </c>
      <c r="I15" s="24" t="s">
        <v>39</v>
      </c>
      <c r="J15" s="25">
        <v>831400</v>
      </c>
      <c r="K15" s="26">
        <f>SUMPRODUCT((AnalíticoNC!$C$3:$C$917=SintéticoNC!F15)*(AnalíticoNC!$H$3:$H$917))</f>
        <v>0</v>
      </c>
      <c r="L15" s="26">
        <f>SUMPRODUCT((AnalíticoNC!$C$3:$C$917=SintéticoNC!F15)*(AnalíticoNC!$G$3:$G$917))</f>
        <v>5797.1776059999993</v>
      </c>
      <c r="M15" s="26">
        <f t="shared" si="0"/>
        <v>837197.17760599998</v>
      </c>
      <c r="N15" s="134">
        <f t="shared" si="1"/>
        <v>0</v>
      </c>
      <c r="R15" s="10" t="s">
        <v>222</v>
      </c>
      <c r="S15" s="3"/>
      <c r="T15" s="3"/>
      <c r="U15" s="3"/>
    </row>
    <row r="16" spans="2:21" ht="12.95" customHeight="1" x14ac:dyDescent="0.25">
      <c r="B16" s="165">
        <f>SUM(M5:M89)</f>
        <v>101380352.64816794</v>
      </c>
      <c r="C16" s="166"/>
      <c r="F16" s="21" t="s">
        <v>150</v>
      </c>
      <c r="G16" s="22" t="s">
        <v>40</v>
      </c>
      <c r="H16" s="23" t="s">
        <v>153</v>
      </c>
      <c r="I16" s="24" t="s">
        <v>41</v>
      </c>
      <c r="J16" s="25">
        <v>207000</v>
      </c>
      <c r="K16" s="26">
        <f>SUMPRODUCT((AnalíticoNC!$C$3:$C$917=SintéticoNC!F16)*(AnalíticoNC!$H$3:$H$917))</f>
        <v>0</v>
      </c>
      <c r="L16" s="26">
        <f>SUMPRODUCT((AnalíticoNC!$C$3:$C$917=SintéticoNC!F16)*(AnalíticoNC!$G$3:$G$917))</f>
        <v>1443.36753</v>
      </c>
      <c r="M16" s="26">
        <f t="shared" si="0"/>
        <v>208443.36752999999</v>
      </c>
      <c r="N16" s="134">
        <f t="shared" si="1"/>
        <v>0</v>
      </c>
      <c r="R16" s="10" t="s">
        <v>221</v>
      </c>
      <c r="S16" s="3">
        <v>0</v>
      </c>
      <c r="T16" s="3">
        <v>0</v>
      </c>
      <c r="U16" s="3">
        <v>0</v>
      </c>
    </row>
    <row r="17" spans="2:21" ht="12.95" customHeight="1" x14ac:dyDescent="0.25">
      <c r="F17" s="21" t="s">
        <v>44</v>
      </c>
      <c r="G17" s="22" t="s">
        <v>42</v>
      </c>
      <c r="H17" s="23" t="s">
        <v>153</v>
      </c>
      <c r="I17" s="24" t="s">
        <v>43</v>
      </c>
      <c r="J17" s="25">
        <v>97197.71</v>
      </c>
      <c r="K17" s="26">
        <f>SUMPRODUCT((AnalíticoNC!$C$3:$C$917=SintéticoNC!F17)*(AnalíticoNC!$H$3:$H$917))</f>
        <v>0</v>
      </c>
      <c r="L17" s="26">
        <f>SUMPRODUCT((AnalíticoNC!$C$3:$C$917=SintéticoNC!F17)*(AnalíticoNC!$G$3:$G$917))</f>
        <v>677.73922031090001</v>
      </c>
      <c r="M17" s="26">
        <f t="shared" si="0"/>
        <v>97875.449220310911</v>
      </c>
      <c r="N17" s="134">
        <f t="shared" si="1"/>
        <v>0</v>
      </c>
      <c r="R17" s="10" t="s">
        <v>223</v>
      </c>
      <c r="S17" s="3">
        <v>1555533.3010259799</v>
      </c>
      <c r="T17" s="3">
        <v>700128.04143119999</v>
      </c>
      <c r="U17" s="3">
        <v>2255661.3424571799</v>
      </c>
    </row>
    <row r="18" spans="2:21" ht="12.95" customHeight="1" x14ac:dyDescent="0.25">
      <c r="B18" s="172" t="s">
        <v>289</v>
      </c>
      <c r="C18" s="172"/>
      <c r="F18" s="21" t="s">
        <v>47</v>
      </c>
      <c r="G18" s="22" t="s">
        <v>45</v>
      </c>
      <c r="H18" s="23" t="s">
        <v>153</v>
      </c>
      <c r="I18" s="24" t="s">
        <v>46</v>
      </c>
      <c r="J18" s="25">
        <v>138500</v>
      </c>
      <c r="K18" s="26">
        <f>SUMPRODUCT((AnalíticoNC!$C$3:$C$917=SintéticoNC!F18)*(AnalíticoNC!$H$3:$H$917))</f>
        <v>0</v>
      </c>
      <c r="L18" s="26">
        <f>SUMPRODUCT((AnalíticoNC!$C$3:$C$917=SintéticoNC!F18)*(AnalíticoNC!$G$3:$G$917))</f>
        <v>965.73141499999997</v>
      </c>
      <c r="M18" s="26">
        <f t="shared" si="0"/>
        <v>139465.73141499999</v>
      </c>
      <c r="N18" s="134">
        <f t="shared" si="1"/>
        <v>0</v>
      </c>
      <c r="R18" s="2" t="s">
        <v>31</v>
      </c>
      <c r="S18" s="8"/>
      <c r="T18" s="8"/>
      <c r="U18" s="8"/>
    </row>
    <row r="19" spans="2:21" ht="12.95" customHeight="1" x14ac:dyDescent="0.25">
      <c r="B19" s="168" t="str">
        <f>"+ Rendimentos %"</f>
        <v>+ Rendimentos %</v>
      </c>
      <c r="C19" s="168"/>
      <c r="F19" s="21" t="s">
        <v>50</v>
      </c>
      <c r="G19" s="22" t="s">
        <v>48</v>
      </c>
      <c r="H19" s="23" t="s">
        <v>153</v>
      </c>
      <c r="I19" s="24" t="s">
        <v>49</v>
      </c>
      <c r="J19" s="25">
        <v>207000</v>
      </c>
      <c r="K19" s="26">
        <f>SUMPRODUCT((AnalíticoNC!$C$3:$C$917=SintéticoNC!F19)*(AnalíticoNC!$H$3:$H$917))</f>
        <v>0</v>
      </c>
      <c r="L19" s="26">
        <f>SUMPRODUCT((AnalíticoNC!$C$3:$C$917=SintéticoNC!F19)*(AnalíticoNC!$G$3:$G$917))</f>
        <v>1443.36753</v>
      </c>
      <c r="M19" s="26">
        <f t="shared" si="0"/>
        <v>208443.36752999999</v>
      </c>
      <c r="N19" s="134">
        <f t="shared" si="1"/>
        <v>0</v>
      </c>
      <c r="R19" s="10" t="s">
        <v>222</v>
      </c>
      <c r="S19" s="3"/>
      <c r="T19" s="3"/>
      <c r="U19" s="3"/>
    </row>
    <row r="20" spans="2:21" ht="14.25" customHeight="1" x14ac:dyDescent="0.25">
      <c r="B20" s="169">
        <f>(B10/(B7+B13))</f>
        <v>0</v>
      </c>
      <c r="C20" s="170"/>
      <c r="F20" s="21" t="s">
        <v>53</v>
      </c>
      <c r="G20" s="22" t="s">
        <v>51</v>
      </c>
      <c r="H20" s="23" t="s">
        <v>153</v>
      </c>
      <c r="I20" s="24" t="s">
        <v>52</v>
      </c>
      <c r="J20" s="25">
        <v>208000</v>
      </c>
      <c r="K20" s="26">
        <f>SUMPRODUCT((AnalíticoNC!$C$3:$C$917=SintéticoNC!F20)*(AnalíticoNC!$H$3:$H$917))</f>
        <v>0</v>
      </c>
      <c r="L20" s="26">
        <f>SUMPRODUCT((AnalíticoNC!$C$3:$C$917=SintéticoNC!F20)*(AnalíticoNC!$G$3:$G$917))</f>
        <v>1450.3403199999998</v>
      </c>
      <c r="M20" s="26">
        <f t="shared" si="0"/>
        <v>209450.34031999999</v>
      </c>
      <c r="N20" s="134">
        <f t="shared" si="1"/>
        <v>0</v>
      </c>
      <c r="R20" s="10" t="s">
        <v>221</v>
      </c>
      <c r="S20" s="3">
        <v>0</v>
      </c>
      <c r="T20" s="3">
        <v>0</v>
      </c>
      <c r="U20" s="3">
        <v>0</v>
      </c>
    </row>
    <row r="21" spans="2:21" ht="12.95" customHeight="1" x14ac:dyDescent="0.25">
      <c r="F21" s="21" t="s">
        <v>56</v>
      </c>
      <c r="G21" s="22" t="s">
        <v>54</v>
      </c>
      <c r="H21" s="23" t="s">
        <v>153</v>
      </c>
      <c r="I21" s="24" t="s">
        <v>55</v>
      </c>
      <c r="J21" s="25">
        <v>400000</v>
      </c>
      <c r="K21" s="26">
        <f>SUMPRODUCT((AnalíticoNC!$C$3:$C$917=SintéticoNC!F21)*(AnalíticoNC!$H$3:$H$917))</f>
        <v>0</v>
      </c>
      <c r="L21" s="26">
        <f>SUMPRODUCT((AnalíticoNC!$C$3:$C$917=SintéticoNC!F21)*(AnalíticoNC!$G$3:$G$917))</f>
        <v>2789.116</v>
      </c>
      <c r="M21" s="26">
        <f t="shared" si="0"/>
        <v>402789.11599999998</v>
      </c>
      <c r="N21" s="134">
        <f t="shared" si="1"/>
        <v>0</v>
      </c>
      <c r="R21" s="10" t="s">
        <v>223</v>
      </c>
      <c r="S21" s="3">
        <v>6452696.1790070869</v>
      </c>
      <c r="T21" s="3">
        <v>1634471.901909932</v>
      </c>
      <c r="U21" s="3">
        <v>8087168.0809170194</v>
      </c>
    </row>
    <row r="22" spans="2:21" ht="12.95" customHeight="1" x14ac:dyDescent="0.25">
      <c r="B22" s="160" t="s">
        <v>273</v>
      </c>
      <c r="C22" s="160"/>
      <c r="D22" s="160"/>
      <c r="F22" s="21" t="s">
        <v>59</v>
      </c>
      <c r="G22" s="22" t="s">
        <v>57</v>
      </c>
      <c r="H22" s="23" t="s">
        <v>153</v>
      </c>
      <c r="I22" s="24" t="s">
        <v>58</v>
      </c>
      <c r="J22" s="25">
        <v>281339.24</v>
      </c>
      <c r="K22" s="26">
        <f>SUMPRODUCT((AnalíticoNC!$C$3:$C$917=SintéticoNC!F22)*(AnalíticoNC!$H$3:$H$917))</f>
        <v>0</v>
      </c>
      <c r="L22" s="26">
        <f>SUMPRODUCT((AnalíticoNC!$C$3:$C$917=SintéticoNC!F22)*(AnalíticoNC!$G$3:$G$917))</f>
        <v>1961.7194392795998</v>
      </c>
      <c r="M22" s="26">
        <f t="shared" si="0"/>
        <v>283300.95943927957</v>
      </c>
      <c r="N22" s="134">
        <f t="shared" si="1"/>
        <v>0</v>
      </c>
      <c r="R22" s="2" t="s">
        <v>35</v>
      </c>
      <c r="S22" s="8"/>
      <c r="T22" s="8"/>
      <c r="U22" s="8"/>
    </row>
    <row r="23" spans="2:21" ht="12.95" customHeight="1" x14ac:dyDescent="0.25">
      <c r="B23" s="142" t="s">
        <v>274</v>
      </c>
      <c r="D23" s="143">
        <v>85</v>
      </c>
      <c r="F23" s="21" t="s">
        <v>62</v>
      </c>
      <c r="G23" s="22" t="s">
        <v>60</v>
      </c>
      <c r="H23" s="23" t="s">
        <v>153</v>
      </c>
      <c r="I23" s="24" t="s">
        <v>61</v>
      </c>
      <c r="J23" s="25">
        <v>81587.97</v>
      </c>
      <c r="K23" s="26">
        <f>SUMPRODUCT((AnalíticoNC!$C$3:$C$917=SintéticoNC!F23)*(AnalíticoNC!$H$3:$H$917))</f>
        <v>0</v>
      </c>
      <c r="L23" s="26">
        <f>SUMPRODUCT((AnalíticoNC!$C$3:$C$917=SintéticoNC!F23)*(AnalíticoNC!$G$3:$G$917))</f>
        <v>568.89578133629993</v>
      </c>
      <c r="M23" s="26">
        <f t="shared" si="0"/>
        <v>82156.865781336295</v>
      </c>
      <c r="N23" s="134">
        <f t="shared" si="1"/>
        <v>0</v>
      </c>
      <c r="R23" s="10" t="s">
        <v>222</v>
      </c>
      <c r="S23" s="3"/>
      <c r="T23" s="3"/>
      <c r="U23" s="3"/>
    </row>
    <row r="24" spans="2:21" ht="12.95" customHeight="1" x14ac:dyDescent="0.25">
      <c r="B24" s="140" t="s">
        <v>275</v>
      </c>
      <c r="D24" s="119">
        <v>70</v>
      </c>
      <c r="F24" s="21" t="s">
        <v>65</v>
      </c>
      <c r="G24" s="22" t="s">
        <v>63</v>
      </c>
      <c r="H24" s="23" t="s">
        <v>153</v>
      </c>
      <c r="I24" s="24" t="s">
        <v>64</v>
      </c>
      <c r="J24" s="25">
        <v>881417.69</v>
      </c>
      <c r="K24" s="26">
        <f>SUMPRODUCT((AnalíticoNC!$C$3:$C$917=SintéticoNC!F24)*(AnalíticoNC!$H$3:$H$917))</f>
        <v>0</v>
      </c>
      <c r="L24" s="26">
        <f>SUMPRODUCT((AnalíticoNC!$C$3:$C$917=SintéticoNC!F24)*(AnalíticoNC!$G$3:$G$917))</f>
        <v>6145.9404546550995</v>
      </c>
      <c r="M24" s="26">
        <f t="shared" si="0"/>
        <v>887563.63045465504</v>
      </c>
      <c r="N24" s="134">
        <f t="shared" si="1"/>
        <v>0</v>
      </c>
      <c r="R24" s="10" t="s">
        <v>221</v>
      </c>
      <c r="S24" s="3">
        <v>0</v>
      </c>
      <c r="T24" s="3"/>
      <c r="U24" s="3">
        <v>0</v>
      </c>
    </row>
    <row r="25" spans="2:21" ht="12.95" customHeight="1" x14ac:dyDescent="0.25">
      <c r="B25" s="141" t="s">
        <v>276</v>
      </c>
      <c r="C25" s="145"/>
      <c r="D25" s="120">
        <v>0</v>
      </c>
      <c r="F25" s="21" t="s">
        <v>68</v>
      </c>
      <c r="G25" s="22" t="s">
        <v>66</v>
      </c>
      <c r="H25" s="23" t="s">
        <v>153</v>
      </c>
      <c r="I25" s="24" t="s">
        <v>67</v>
      </c>
      <c r="J25" s="25">
        <v>502796.02</v>
      </c>
      <c r="K25" s="26">
        <f>SUMPRODUCT((AnalíticoNC!$C$3:$C$917=SintéticoNC!F25)*(AnalíticoNC!$H$3:$H$917))</f>
        <v>0</v>
      </c>
      <c r="L25" s="26">
        <f>SUMPRODUCT((AnalíticoNC!$C$3:$C$917=SintéticoNC!F25)*(AnalíticoNC!$G$3:$G$917))</f>
        <v>3505.8910602957999</v>
      </c>
      <c r="M25" s="26">
        <f t="shared" si="0"/>
        <v>506301.91106029582</v>
      </c>
      <c r="N25" s="134">
        <f t="shared" si="1"/>
        <v>0</v>
      </c>
      <c r="R25" s="10" t="s">
        <v>223</v>
      </c>
      <c r="S25" s="3">
        <v>755229.59250000003</v>
      </c>
      <c r="T25" s="3"/>
      <c r="U25" s="3">
        <v>755229.59250000003</v>
      </c>
    </row>
    <row r="26" spans="2:21" ht="12.95" customHeight="1" x14ac:dyDescent="0.25">
      <c r="F26" s="21" t="s">
        <v>71</v>
      </c>
      <c r="G26" s="22" t="s">
        <v>69</v>
      </c>
      <c r="H26" s="23" t="s">
        <v>153</v>
      </c>
      <c r="I26" s="24" t="s">
        <v>70</v>
      </c>
      <c r="J26" s="25">
        <v>207000</v>
      </c>
      <c r="K26" s="26">
        <f>SUMPRODUCT((AnalíticoNC!$C$3:$C$917=SintéticoNC!F26)*(AnalíticoNC!$H$3:$H$917))</f>
        <v>0</v>
      </c>
      <c r="L26" s="26">
        <f>SUMPRODUCT((AnalíticoNC!$C$3:$C$917=SintéticoNC!F26)*(AnalíticoNC!$G$3:$G$917))</f>
        <v>1443.36753</v>
      </c>
      <c r="M26" s="26">
        <f t="shared" si="0"/>
        <v>208443.36752999999</v>
      </c>
      <c r="N26" s="134">
        <f t="shared" si="1"/>
        <v>0</v>
      </c>
      <c r="R26" s="2" t="s">
        <v>37</v>
      </c>
      <c r="S26" s="8"/>
      <c r="T26" s="8"/>
      <c r="U26" s="8"/>
    </row>
    <row r="27" spans="2:21" ht="12.95" customHeight="1" x14ac:dyDescent="0.25">
      <c r="F27" s="21" t="s">
        <v>74</v>
      </c>
      <c r="G27" s="22" t="s">
        <v>72</v>
      </c>
      <c r="H27" s="23" t="s">
        <v>153</v>
      </c>
      <c r="I27" s="24" t="s">
        <v>73</v>
      </c>
      <c r="J27" s="25">
        <v>72167.81</v>
      </c>
      <c r="K27" s="26">
        <f>SUMPRODUCT((AnalíticoNC!$C$3:$C$917=SintéticoNC!F27)*(AnalíticoNC!$H$3:$H$917))</f>
        <v>0</v>
      </c>
      <c r="L27" s="26">
        <f>SUMPRODUCT((AnalíticoNC!$C$3:$C$917=SintéticoNC!F27)*(AnalíticoNC!$G$3:$G$917))</f>
        <v>503.21098388989998</v>
      </c>
      <c r="M27" s="26">
        <f t="shared" si="0"/>
        <v>72671.020983889903</v>
      </c>
      <c r="N27" s="134">
        <f t="shared" si="1"/>
        <v>0</v>
      </c>
      <c r="R27" s="10" t="s">
        <v>222</v>
      </c>
      <c r="S27" s="3"/>
      <c r="T27" s="3"/>
      <c r="U27" s="3"/>
    </row>
    <row r="28" spans="2:21" ht="12.95" customHeight="1" x14ac:dyDescent="0.25">
      <c r="F28" s="21" t="s">
        <v>77</v>
      </c>
      <c r="G28" s="22" t="s">
        <v>75</v>
      </c>
      <c r="H28" s="23" t="s">
        <v>153</v>
      </c>
      <c r="I28" s="24" t="s">
        <v>76</v>
      </c>
      <c r="J28" s="25">
        <v>9098.42</v>
      </c>
      <c r="K28" s="26">
        <f>SUMPRODUCT((AnalíticoNC!$C$3:$C$917=SintéticoNC!F28)*(AnalíticoNC!$H$3:$H$917))</f>
        <v>0</v>
      </c>
      <c r="L28" s="26">
        <f>SUMPRODUCT((AnalíticoNC!$C$3:$C$917=SintéticoNC!F28)*(AnalíticoNC!$G$3:$G$917))</f>
        <v>63.441371991799997</v>
      </c>
      <c r="M28" s="26">
        <f t="shared" si="0"/>
        <v>9161.8613719917994</v>
      </c>
      <c r="N28" s="134">
        <f t="shared" si="1"/>
        <v>0</v>
      </c>
      <c r="R28" s="10" t="s">
        <v>221</v>
      </c>
      <c r="S28" s="3">
        <v>0</v>
      </c>
      <c r="T28" s="3">
        <v>0</v>
      </c>
      <c r="U28" s="3">
        <v>0</v>
      </c>
    </row>
    <row r="29" spans="2:21" ht="12.95" customHeight="1" x14ac:dyDescent="0.25">
      <c r="F29" s="21" t="s">
        <v>80</v>
      </c>
      <c r="G29" s="22" t="s">
        <v>78</v>
      </c>
      <c r="H29" s="23" t="s">
        <v>153</v>
      </c>
      <c r="I29" s="24" t="s">
        <v>79</v>
      </c>
      <c r="J29" s="25">
        <v>207000</v>
      </c>
      <c r="K29" s="26">
        <f>SUMPRODUCT((AnalíticoNC!$C$3:$C$917=SintéticoNC!F29)*(AnalíticoNC!$H$3:$H$917))</f>
        <v>0</v>
      </c>
      <c r="L29" s="26">
        <f>SUMPRODUCT((AnalíticoNC!$C$3:$C$917=SintéticoNC!F29)*(AnalíticoNC!$G$3:$G$917))</f>
        <v>1443.36753</v>
      </c>
      <c r="M29" s="26">
        <f t="shared" si="0"/>
        <v>208443.36752999999</v>
      </c>
      <c r="N29" s="134">
        <f t="shared" si="1"/>
        <v>0</v>
      </c>
      <c r="R29" s="10" t="s">
        <v>223</v>
      </c>
      <c r="S29" s="3">
        <v>1330613.8447060001</v>
      </c>
      <c r="T29" s="3">
        <v>499881.43241180002</v>
      </c>
      <c r="U29" s="3">
        <v>1830495.2771178</v>
      </c>
    </row>
    <row r="30" spans="2:21" ht="12.95" customHeight="1" x14ac:dyDescent="0.25">
      <c r="F30" s="21" t="s">
        <v>83</v>
      </c>
      <c r="G30" s="22" t="s">
        <v>81</v>
      </c>
      <c r="H30" s="23" t="s">
        <v>153</v>
      </c>
      <c r="I30" s="24" t="s">
        <v>82</v>
      </c>
      <c r="J30" s="25">
        <v>102000</v>
      </c>
      <c r="K30" s="26">
        <f>SUMPRODUCT((AnalíticoNC!$C$3:$C$917=SintéticoNC!F30)*(AnalíticoNC!$H$3:$H$917))</f>
        <v>0</v>
      </c>
      <c r="L30" s="26">
        <f>SUMPRODUCT((AnalíticoNC!$C$3:$C$917=SintéticoNC!F30)*(AnalíticoNC!$G$3:$G$917))</f>
        <v>711.22457999999995</v>
      </c>
      <c r="M30" s="26">
        <f t="shared" si="0"/>
        <v>102711.22457999999</v>
      </c>
      <c r="N30" s="134">
        <f t="shared" si="1"/>
        <v>0</v>
      </c>
      <c r="R30" s="2" t="s">
        <v>40</v>
      </c>
      <c r="S30" s="8"/>
      <c r="T30" s="8"/>
      <c r="U30" s="8"/>
    </row>
    <row r="31" spans="2:21" ht="12.95" customHeight="1" x14ac:dyDescent="0.25">
      <c r="F31" s="21" t="s">
        <v>86</v>
      </c>
      <c r="G31" s="22" t="s">
        <v>84</v>
      </c>
      <c r="H31" s="23" t="s">
        <v>153</v>
      </c>
      <c r="I31" s="24" t="s">
        <v>85</v>
      </c>
      <c r="J31" s="25">
        <v>345000</v>
      </c>
      <c r="K31" s="26">
        <f>SUMPRODUCT((AnalíticoNC!$C$3:$C$917=SintéticoNC!F31)*(AnalíticoNC!$H$3:$H$917))</f>
        <v>0</v>
      </c>
      <c r="L31" s="26">
        <f>SUMPRODUCT((AnalíticoNC!$C$3:$C$917=SintéticoNC!F31)*(AnalíticoNC!$G$3:$G$917))</f>
        <v>2405.6125499999998</v>
      </c>
      <c r="M31" s="26">
        <f t="shared" si="0"/>
        <v>347405.61255000002</v>
      </c>
      <c r="N31" s="134">
        <f t="shared" si="1"/>
        <v>0</v>
      </c>
      <c r="R31" s="10" t="s">
        <v>222</v>
      </c>
      <c r="S31" s="3"/>
      <c r="T31" s="3"/>
      <c r="U31" s="3"/>
    </row>
    <row r="32" spans="2:21" ht="12.95" customHeight="1" x14ac:dyDescent="0.25">
      <c r="F32" s="21" t="s">
        <v>89</v>
      </c>
      <c r="G32" s="22" t="s">
        <v>87</v>
      </c>
      <c r="H32" s="23" t="s">
        <v>153</v>
      </c>
      <c r="I32" s="24" t="s">
        <v>88</v>
      </c>
      <c r="J32" s="25">
        <v>430000</v>
      </c>
      <c r="K32" s="26">
        <f>SUMPRODUCT((AnalíticoNC!$C$3:$C$917=SintéticoNC!F32)*(AnalíticoNC!$H$3:$H$917))</f>
        <v>0</v>
      </c>
      <c r="L32" s="26">
        <f>SUMPRODUCT((AnalíticoNC!$C$3:$C$917=SintéticoNC!F32)*(AnalíticoNC!$G$3:$G$917))</f>
        <v>2998.2997</v>
      </c>
      <c r="M32" s="26">
        <f t="shared" si="0"/>
        <v>432998.29969999997</v>
      </c>
      <c r="N32" s="134">
        <f t="shared" si="1"/>
        <v>0</v>
      </c>
      <c r="R32" s="10" t="s">
        <v>221</v>
      </c>
      <c r="S32" s="3">
        <v>0</v>
      </c>
      <c r="T32" s="3">
        <v>0</v>
      </c>
      <c r="U32" s="3">
        <v>0</v>
      </c>
    </row>
    <row r="33" spans="6:21" ht="12.95" customHeight="1" x14ac:dyDescent="0.25">
      <c r="F33" s="21" t="s">
        <v>92</v>
      </c>
      <c r="G33" s="22" t="s">
        <v>90</v>
      </c>
      <c r="H33" s="23" t="s">
        <v>153</v>
      </c>
      <c r="I33" s="24" t="s">
        <v>91</v>
      </c>
      <c r="J33" s="25">
        <v>66102.3</v>
      </c>
      <c r="K33" s="26">
        <f>SUMPRODUCT((AnalíticoNC!$C$3:$C$917=SintéticoNC!F33)*(AnalíticoNC!$H$3:$H$917))</f>
        <v>0</v>
      </c>
      <c r="L33" s="26">
        <f>SUMPRODUCT((AnalíticoNC!$C$3:$C$917=SintéticoNC!F33)*(AnalíticoNC!$G$3:$G$917))</f>
        <v>460.91745641699998</v>
      </c>
      <c r="M33" s="26">
        <f t="shared" si="0"/>
        <v>66563.217456416998</v>
      </c>
      <c r="N33" s="134">
        <f t="shared" si="1"/>
        <v>0</v>
      </c>
      <c r="R33" s="10" t="s">
        <v>223</v>
      </c>
      <c r="S33" s="3">
        <v>208443.36752999999</v>
      </c>
      <c r="T33" s="3">
        <v>93648.469469999996</v>
      </c>
      <c r="U33" s="3">
        <v>302091.837</v>
      </c>
    </row>
    <row r="34" spans="6:21" ht="12.95" customHeight="1" x14ac:dyDescent="0.25">
      <c r="F34" s="21" t="s">
        <v>95</v>
      </c>
      <c r="G34" s="22" t="s">
        <v>93</v>
      </c>
      <c r="H34" s="23" t="s">
        <v>153</v>
      </c>
      <c r="I34" s="24" t="s">
        <v>94</v>
      </c>
      <c r="J34" s="25">
        <v>2475.04</v>
      </c>
      <c r="K34" s="26">
        <f>SUMPRODUCT((AnalíticoNC!$C$3:$C$917=SintéticoNC!F34)*(AnalíticoNC!$H$3:$H$917))</f>
        <v>0</v>
      </c>
      <c r="L34" s="26">
        <f>SUMPRODUCT((AnalíticoNC!$C$3:$C$917=SintéticoNC!F34)*(AnalíticoNC!$G$3:$G$917))</f>
        <v>17.257934161599998</v>
      </c>
      <c r="M34" s="26">
        <f t="shared" si="0"/>
        <v>2492.2979341616001</v>
      </c>
      <c r="N34" s="134">
        <f t="shared" si="1"/>
        <v>0</v>
      </c>
      <c r="R34" s="2" t="s">
        <v>42</v>
      </c>
      <c r="S34" s="8"/>
      <c r="T34" s="8"/>
      <c r="U34" s="8"/>
    </row>
    <row r="35" spans="6:21" ht="12.95" customHeight="1" x14ac:dyDescent="0.25">
      <c r="F35" s="21" t="s">
        <v>98</v>
      </c>
      <c r="G35" s="22" t="s">
        <v>96</v>
      </c>
      <c r="H35" s="23" t="s">
        <v>153</v>
      </c>
      <c r="I35" s="24" t="s">
        <v>97</v>
      </c>
      <c r="J35" s="25">
        <v>207000</v>
      </c>
      <c r="K35" s="26">
        <f>SUMPRODUCT((AnalíticoNC!$C$3:$C$917=SintéticoNC!F35)*(AnalíticoNC!$H$3:$H$917))</f>
        <v>0</v>
      </c>
      <c r="L35" s="26">
        <f>SUMPRODUCT((AnalíticoNC!$C$3:$C$917=SintéticoNC!F35)*(AnalíticoNC!$G$3:$G$917))</f>
        <v>1443.36753</v>
      </c>
      <c r="M35" s="26">
        <f t="shared" si="0"/>
        <v>208443.36752999999</v>
      </c>
      <c r="N35" s="134">
        <f t="shared" si="1"/>
        <v>0</v>
      </c>
      <c r="R35" s="10" t="s">
        <v>222</v>
      </c>
      <c r="S35" s="3"/>
      <c r="T35" s="3"/>
      <c r="U35" s="3"/>
    </row>
    <row r="36" spans="6:21" ht="12.95" customHeight="1" x14ac:dyDescent="0.25">
      <c r="F36" s="21" t="s">
        <v>101</v>
      </c>
      <c r="G36" s="22" t="s">
        <v>99</v>
      </c>
      <c r="H36" s="23" t="s">
        <v>153</v>
      </c>
      <c r="I36" s="24" t="s">
        <v>100</v>
      </c>
      <c r="J36" s="25">
        <v>408375.1</v>
      </c>
      <c r="K36" s="26">
        <f>SUMPRODUCT((AnalíticoNC!$C$3:$C$917=SintéticoNC!F36)*(AnalíticoNC!$H$3:$H$917))</f>
        <v>0</v>
      </c>
      <c r="L36" s="26">
        <f>SUMPRODUCT((AnalíticoNC!$C$3:$C$917=SintéticoNC!F36)*(AnalíticoNC!$G$3:$G$917))</f>
        <v>2847.5138135289994</v>
      </c>
      <c r="M36" s="26">
        <f t="shared" si="0"/>
        <v>411222.61381352897</v>
      </c>
      <c r="N36" s="134">
        <f t="shared" si="1"/>
        <v>0</v>
      </c>
      <c r="R36" s="10" t="s">
        <v>221</v>
      </c>
      <c r="S36" s="3">
        <v>0</v>
      </c>
      <c r="T36" s="3"/>
      <c r="U36" s="3">
        <v>0</v>
      </c>
    </row>
    <row r="37" spans="6:21" ht="12.95" customHeight="1" x14ac:dyDescent="0.25">
      <c r="F37" s="21" t="s">
        <v>104</v>
      </c>
      <c r="G37" s="22" t="s">
        <v>102</v>
      </c>
      <c r="H37" s="23" t="s">
        <v>153</v>
      </c>
      <c r="I37" s="24" t="s">
        <v>103</v>
      </c>
      <c r="J37" s="25">
        <v>207000</v>
      </c>
      <c r="K37" s="26">
        <f>SUMPRODUCT((AnalíticoNC!$C$3:$C$917=SintéticoNC!F37)*(AnalíticoNC!$H$3:$H$917))</f>
        <v>0</v>
      </c>
      <c r="L37" s="26">
        <f>SUMPRODUCT((AnalíticoNC!$C$3:$C$917=SintéticoNC!F37)*(AnalíticoNC!$G$3:$G$917))</f>
        <v>1443.36753</v>
      </c>
      <c r="M37" s="26">
        <f t="shared" si="0"/>
        <v>208443.36752999999</v>
      </c>
      <c r="N37" s="134">
        <f t="shared" si="1"/>
        <v>0</v>
      </c>
      <c r="R37" s="10" t="s">
        <v>223</v>
      </c>
      <c r="S37" s="3">
        <v>97875.449220310911</v>
      </c>
      <c r="T37" s="3"/>
      <c r="U37" s="3">
        <v>97875.449220310911</v>
      </c>
    </row>
    <row r="38" spans="6:21" ht="12.95" customHeight="1" x14ac:dyDescent="0.25">
      <c r="F38" s="21" t="s">
        <v>107</v>
      </c>
      <c r="G38" s="22" t="s">
        <v>105</v>
      </c>
      <c r="H38" s="23" t="s">
        <v>153</v>
      </c>
      <c r="I38" s="24" t="s">
        <v>106</v>
      </c>
      <c r="J38" s="25">
        <v>15392427.09</v>
      </c>
      <c r="K38" s="26">
        <f>SUMPRODUCT((AnalíticoNC!$C$3:$C$917=SintéticoNC!F38)*(AnalíticoNC!$H$3:$H$917))</f>
        <v>0</v>
      </c>
      <c r="L38" s="26">
        <f>SUMPRODUCT((AnalíticoNC!$C$3:$C$917=SintéticoNC!F38)*(AnalíticoNC!$G$3:$G$917))</f>
        <v>107328.1616888811</v>
      </c>
      <c r="M38" s="26">
        <f t="shared" si="0"/>
        <v>15499755.251688881</v>
      </c>
      <c r="N38" s="134">
        <f t="shared" si="1"/>
        <v>0</v>
      </c>
      <c r="R38" s="2" t="s">
        <v>45</v>
      </c>
      <c r="S38" s="8"/>
      <c r="T38" s="8"/>
      <c r="U38" s="8"/>
    </row>
    <row r="39" spans="6:21" ht="12.95" customHeight="1" x14ac:dyDescent="0.25">
      <c r="F39" s="21" t="s">
        <v>109</v>
      </c>
      <c r="G39" s="22" t="s">
        <v>105</v>
      </c>
      <c r="H39" s="23" t="s">
        <v>153</v>
      </c>
      <c r="I39" s="24" t="s">
        <v>108</v>
      </c>
      <c r="J39" s="25">
        <v>3688000</v>
      </c>
      <c r="K39" s="26">
        <f>SUMPRODUCT((AnalíticoNC!$C$3:$C$917=SintéticoNC!F39)*(AnalíticoNC!$H$3:$H$917))</f>
        <v>0</v>
      </c>
      <c r="L39" s="26">
        <f>SUMPRODUCT((AnalíticoNC!$C$3:$C$917=SintéticoNC!F39)*(AnalíticoNC!$G$3:$G$917))</f>
        <v>25715.649519999999</v>
      </c>
      <c r="M39" s="26">
        <f t="shared" si="0"/>
        <v>3713715.64952</v>
      </c>
      <c r="N39" s="134">
        <f t="shared" si="1"/>
        <v>0</v>
      </c>
      <c r="R39" s="10" t="s">
        <v>222</v>
      </c>
      <c r="S39" s="3"/>
      <c r="T39" s="3"/>
      <c r="U39" s="3"/>
    </row>
    <row r="40" spans="6:21" ht="12.95" customHeight="1" x14ac:dyDescent="0.25">
      <c r="F40" s="21" t="s">
        <v>111</v>
      </c>
      <c r="G40" s="22" t="s">
        <v>105</v>
      </c>
      <c r="H40" s="23" t="s">
        <v>153</v>
      </c>
      <c r="I40" s="24" t="s">
        <v>110</v>
      </c>
      <c r="J40" s="25">
        <v>10000000</v>
      </c>
      <c r="K40" s="26">
        <f>SUMPRODUCT((AnalíticoNC!$C$3:$C$917=SintéticoNC!F40)*(AnalíticoNC!$H$3:$H$917))</f>
        <v>0</v>
      </c>
      <c r="L40" s="26">
        <f>SUMPRODUCT((AnalíticoNC!$C$3:$C$917=SintéticoNC!F40)*(AnalíticoNC!$G$3:$G$917))</f>
        <v>69727.899999999994</v>
      </c>
      <c r="M40" s="26">
        <f t="shared" si="0"/>
        <v>10069727.9</v>
      </c>
      <c r="N40" s="134">
        <f t="shared" si="1"/>
        <v>0</v>
      </c>
      <c r="R40" s="10" t="s">
        <v>221</v>
      </c>
      <c r="S40" s="3">
        <v>0</v>
      </c>
      <c r="T40" s="3">
        <v>0</v>
      </c>
      <c r="U40" s="3">
        <v>0</v>
      </c>
    </row>
    <row r="41" spans="6:21" ht="12.95" customHeight="1" x14ac:dyDescent="0.25">
      <c r="F41" s="21" t="s">
        <v>114</v>
      </c>
      <c r="G41" s="22" t="s">
        <v>112</v>
      </c>
      <c r="H41" s="23" t="s">
        <v>153</v>
      </c>
      <c r="I41" s="24" t="s">
        <v>113</v>
      </c>
      <c r="J41" s="25">
        <v>16863198</v>
      </c>
      <c r="K41" s="26">
        <f>SUMPRODUCT((AnalíticoNC!$C$3:$C$917=SintéticoNC!F41)*(AnalíticoNC!$H$3:$H$917))</f>
        <v>0</v>
      </c>
      <c r="L41" s="26">
        <f>SUMPRODUCT((AnalíticoNC!$C$3:$C$917=SintéticoNC!F41)*(AnalíticoNC!$G$3:$G$917))</f>
        <v>117583.53838242</v>
      </c>
      <c r="M41" s="26">
        <f t="shared" si="0"/>
        <v>16980781.538382418</v>
      </c>
      <c r="N41" s="134">
        <f t="shared" si="1"/>
        <v>0</v>
      </c>
      <c r="R41" s="10" t="s">
        <v>223</v>
      </c>
      <c r="S41" s="3">
        <v>139465.73141499999</v>
      </c>
      <c r="T41" s="3">
        <v>61928.826585000003</v>
      </c>
      <c r="U41" s="3">
        <v>201394.55799999999</v>
      </c>
    </row>
    <row r="42" spans="6:21" ht="12.95" customHeight="1" x14ac:dyDescent="0.25">
      <c r="F42" s="21" t="s">
        <v>116</v>
      </c>
      <c r="G42" s="22" t="s">
        <v>112</v>
      </c>
      <c r="H42" s="23" t="s">
        <v>153</v>
      </c>
      <c r="I42" s="24" t="s">
        <v>115</v>
      </c>
      <c r="J42" s="25">
        <v>3681000</v>
      </c>
      <c r="K42" s="26">
        <f>SUMPRODUCT((AnalíticoNC!$C$3:$C$917=SintéticoNC!F42)*(AnalíticoNC!$H$3:$H$917))</f>
        <v>0</v>
      </c>
      <c r="L42" s="26">
        <f>SUMPRODUCT((AnalíticoNC!$C$3:$C$917=SintéticoNC!F42)*(AnalíticoNC!$G$3:$G$917))</f>
        <v>25666.839989999997</v>
      </c>
      <c r="M42" s="26">
        <f t="shared" si="0"/>
        <v>3706666.8399899998</v>
      </c>
      <c r="N42" s="134">
        <f t="shared" si="1"/>
        <v>0</v>
      </c>
      <c r="R42" s="2" t="s">
        <v>48</v>
      </c>
      <c r="S42" s="8"/>
      <c r="T42" s="8"/>
      <c r="U42" s="8"/>
    </row>
    <row r="43" spans="6:21" ht="12.95" customHeight="1" x14ac:dyDescent="0.25">
      <c r="F43" s="21" t="s">
        <v>119</v>
      </c>
      <c r="G43" s="22" t="s">
        <v>117</v>
      </c>
      <c r="H43" s="23" t="s">
        <v>153</v>
      </c>
      <c r="I43" s="24" t="s">
        <v>118</v>
      </c>
      <c r="J43" s="25">
        <v>625930.5</v>
      </c>
      <c r="K43" s="26">
        <f>SUMPRODUCT((AnalíticoNC!$C$3:$C$917=SintéticoNC!F43)*(AnalíticoNC!$H$3:$H$917))</f>
        <v>0</v>
      </c>
      <c r="L43" s="26">
        <f>SUMPRODUCT((AnalíticoNC!$C$3:$C$917=SintéticoNC!F43)*(AnalíticoNC!$G$3:$G$917))</f>
        <v>4364.4819310949997</v>
      </c>
      <c r="M43" s="26">
        <f t="shared" si="0"/>
        <v>630294.98193109501</v>
      </c>
      <c r="N43" s="134">
        <f t="shared" si="1"/>
        <v>0</v>
      </c>
      <c r="R43" s="10" t="s">
        <v>222</v>
      </c>
      <c r="S43" s="3"/>
      <c r="T43" s="3"/>
      <c r="U43" s="3"/>
    </row>
    <row r="44" spans="6:21" ht="12.95" customHeight="1" x14ac:dyDescent="0.25">
      <c r="F44" s="21" t="s">
        <v>122</v>
      </c>
      <c r="G44" s="22" t="s">
        <v>120</v>
      </c>
      <c r="H44" s="23" t="s">
        <v>153</v>
      </c>
      <c r="I44" s="24" t="s">
        <v>121</v>
      </c>
      <c r="J44" s="25">
        <v>107800</v>
      </c>
      <c r="K44" s="26">
        <f>SUMPRODUCT((AnalíticoNC!$C$3:$C$917=SintéticoNC!F44)*(AnalíticoNC!$H$3:$H$917))</f>
        <v>0</v>
      </c>
      <c r="L44" s="26">
        <f>SUMPRODUCT((AnalíticoNC!$C$3:$C$917=SintéticoNC!F44)*(AnalíticoNC!$G$3:$G$917))</f>
        <v>751.66676199999995</v>
      </c>
      <c r="M44" s="26">
        <f t="shared" si="0"/>
        <v>108551.66676199999</v>
      </c>
      <c r="N44" s="134">
        <f t="shared" si="1"/>
        <v>0</v>
      </c>
      <c r="R44" s="10" t="s">
        <v>221</v>
      </c>
      <c r="S44" s="3">
        <v>0</v>
      </c>
      <c r="T44" s="3">
        <v>0</v>
      </c>
      <c r="U44" s="3">
        <v>0</v>
      </c>
    </row>
    <row r="45" spans="6:21" ht="12.95" customHeight="1" x14ac:dyDescent="0.25">
      <c r="F45" s="21" t="s">
        <v>125</v>
      </c>
      <c r="G45" s="22" t="s">
        <v>123</v>
      </c>
      <c r="H45" s="23" t="s">
        <v>153</v>
      </c>
      <c r="I45" s="24" t="s">
        <v>124</v>
      </c>
      <c r="J45" s="25">
        <v>414000</v>
      </c>
      <c r="K45" s="26">
        <f>SUMPRODUCT((AnalíticoNC!$C$3:$C$917=SintéticoNC!F45)*(AnalíticoNC!$H$3:$H$917))</f>
        <v>0</v>
      </c>
      <c r="L45" s="26">
        <f>SUMPRODUCT((AnalíticoNC!$C$3:$C$917=SintéticoNC!F45)*(AnalíticoNC!$G$3:$G$917))</f>
        <v>2886.73506</v>
      </c>
      <c r="M45" s="26">
        <f t="shared" si="0"/>
        <v>416886.73505999998</v>
      </c>
      <c r="N45" s="134">
        <f t="shared" si="1"/>
        <v>0</v>
      </c>
      <c r="R45" s="10" t="s">
        <v>223</v>
      </c>
      <c r="S45" s="3">
        <v>208443.36752999999</v>
      </c>
      <c r="T45" s="3">
        <v>93648.469469999996</v>
      </c>
      <c r="U45" s="3">
        <v>302091.837</v>
      </c>
    </row>
    <row r="46" spans="6:21" ht="12.95" customHeight="1" x14ac:dyDescent="0.25">
      <c r="F46" s="21" t="s">
        <v>128</v>
      </c>
      <c r="G46" s="22" t="s">
        <v>126</v>
      </c>
      <c r="H46" s="23" t="s">
        <v>153</v>
      </c>
      <c r="I46" s="24" t="s">
        <v>127</v>
      </c>
      <c r="J46" s="25">
        <v>46400</v>
      </c>
      <c r="K46" s="26">
        <f>SUMPRODUCT((AnalíticoNC!$C$3:$C$917=SintéticoNC!F46)*(AnalíticoNC!$H$3:$H$917))</f>
        <v>0</v>
      </c>
      <c r="L46" s="26">
        <f>SUMPRODUCT((AnalíticoNC!$C$3:$C$917=SintéticoNC!F46)*(AnalíticoNC!$G$3:$G$917))</f>
        <v>323.53745599999996</v>
      </c>
      <c r="M46" s="26">
        <f t="shared" si="0"/>
        <v>46723.537455999998</v>
      </c>
      <c r="N46" s="134">
        <f t="shared" si="1"/>
        <v>0</v>
      </c>
      <c r="R46" s="2" t="s">
        <v>51</v>
      </c>
      <c r="S46" s="8"/>
      <c r="T46" s="8"/>
      <c r="U46" s="8"/>
    </row>
    <row r="47" spans="6:21" ht="12.95" customHeight="1" x14ac:dyDescent="0.25">
      <c r="F47" s="21" t="s">
        <v>131</v>
      </c>
      <c r="G47" s="22" t="s">
        <v>129</v>
      </c>
      <c r="H47" s="23" t="s">
        <v>153</v>
      </c>
      <c r="I47" s="24" t="s">
        <v>130</v>
      </c>
      <c r="J47" s="25">
        <v>343031.28</v>
      </c>
      <c r="K47" s="26">
        <f>SUMPRODUCT((AnalíticoNC!$C$3:$C$917=SintéticoNC!F47)*(AnalíticoNC!$H$3:$H$917))</f>
        <v>0</v>
      </c>
      <c r="L47" s="26">
        <f>SUMPRODUCT((AnalíticoNC!$C$3:$C$917=SintéticoNC!F47)*(AnalíticoNC!$G$3:$G$917))</f>
        <v>2391.8850788712002</v>
      </c>
      <c r="M47" s="26">
        <f t="shared" si="0"/>
        <v>345423.16507887124</v>
      </c>
      <c r="N47" s="134">
        <f t="shared" si="1"/>
        <v>0</v>
      </c>
      <c r="R47" s="10" t="s">
        <v>222</v>
      </c>
      <c r="S47" s="3"/>
      <c r="T47" s="3"/>
      <c r="U47" s="3"/>
    </row>
    <row r="48" spans="6:21" ht="12.95" customHeight="1" x14ac:dyDescent="0.25">
      <c r="F48" s="21" t="s">
        <v>134</v>
      </c>
      <c r="G48" s="22" t="s">
        <v>132</v>
      </c>
      <c r="H48" s="23" t="s">
        <v>153</v>
      </c>
      <c r="I48" s="24" t="s">
        <v>133</v>
      </c>
      <c r="J48" s="25">
        <v>284986</v>
      </c>
      <c r="K48" s="26">
        <f>SUMPRODUCT((AnalíticoNC!$C$3:$C$917=SintéticoNC!F48)*(AnalíticoNC!$H$3:$H$917))</f>
        <v>0</v>
      </c>
      <c r="L48" s="26">
        <f>SUMPRODUCT((AnalíticoNC!$C$3:$C$917=SintéticoNC!F48)*(AnalíticoNC!$G$3:$G$917))</f>
        <v>1987.1475309399998</v>
      </c>
      <c r="M48" s="26">
        <f t="shared" si="0"/>
        <v>286973.14753094001</v>
      </c>
      <c r="N48" s="134">
        <f t="shared" si="1"/>
        <v>0</v>
      </c>
      <c r="R48" s="10" t="s">
        <v>221</v>
      </c>
      <c r="S48" s="3">
        <v>0</v>
      </c>
      <c r="T48" s="3">
        <v>0</v>
      </c>
      <c r="U48" s="3">
        <v>0</v>
      </c>
    </row>
    <row r="49" spans="6:21" ht="12.95" customHeight="1" x14ac:dyDescent="0.25">
      <c r="F49" s="21" t="s">
        <v>137</v>
      </c>
      <c r="G49" s="22" t="s">
        <v>135</v>
      </c>
      <c r="H49" s="23" t="s">
        <v>153</v>
      </c>
      <c r="I49" s="24" t="s">
        <v>136</v>
      </c>
      <c r="J49" s="25">
        <v>345000</v>
      </c>
      <c r="K49" s="26">
        <f>SUMPRODUCT((AnalíticoNC!$C$3:$C$917=SintéticoNC!F49)*(AnalíticoNC!$H$3:$H$917))</f>
        <v>0</v>
      </c>
      <c r="L49" s="26">
        <f>SUMPRODUCT((AnalíticoNC!$C$3:$C$917=SintéticoNC!F49)*(AnalíticoNC!$G$3:$G$917))</f>
        <v>2405.6125499999998</v>
      </c>
      <c r="M49" s="26">
        <f t="shared" si="0"/>
        <v>347405.61255000002</v>
      </c>
      <c r="N49" s="134">
        <f t="shared" si="1"/>
        <v>0</v>
      </c>
      <c r="R49" s="10" t="s">
        <v>223</v>
      </c>
      <c r="S49" s="3">
        <v>209450.34031999999</v>
      </c>
      <c r="T49" s="3">
        <v>92641.496679999997</v>
      </c>
      <c r="U49" s="3">
        <v>302091.837</v>
      </c>
    </row>
    <row r="50" spans="6:21" ht="12.95" customHeight="1" x14ac:dyDescent="0.25">
      <c r="F50" s="28" t="s">
        <v>140</v>
      </c>
      <c r="G50" s="29" t="s">
        <v>138</v>
      </c>
      <c r="H50" s="30" t="s">
        <v>153</v>
      </c>
      <c r="I50" s="31" t="s">
        <v>139</v>
      </c>
      <c r="J50" s="25">
        <v>309000</v>
      </c>
      <c r="K50" s="32">
        <f>SUMPRODUCT((AnalíticoNC!$C$3:$C$917=SintéticoNC!F50)*(AnalíticoNC!$H$3:$H$917))</f>
        <v>0</v>
      </c>
      <c r="L50" s="32">
        <f>SUMPRODUCT((AnalíticoNC!$C$3:$C$917=SintéticoNC!F50)*(AnalíticoNC!$G$3:$G$917))</f>
        <v>2154.59211</v>
      </c>
      <c r="M50" s="26">
        <f t="shared" si="0"/>
        <v>311154.59211000003</v>
      </c>
      <c r="N50" s="134">
        <f t="shared" si="1"/>
        <v>0</v>
      </c>
      <c r="R50" s="2" t="s">
        <v>54</v>
      </c>
      <c r="S50" s="8"/>
      <c r="T50" s="8"/>
      <c r="U50" s="8"/>
    </row>
    <row r="51" spans="6:21" ht="12.95" customHeight="1" x14ac:dyDescent="0.25">
      <c r="F51" s="148" t="s">
        <v>311</v>
      </c>
      <c r="G51" s="149" t="s">
        <v>314</v>
      </c>
      <c r="H51" s="150" t="s">
        <v>153</v>
      </c>
      <c r="I51" s="151"/>
      <c r="J51" s="152">
        <v>2238358.5</v>
      </c>
      <c r="K51" s="147"/>
      <c r="L51" s="147"/>
      <c r="M51" s="26"/>
      <c r="N51" s="134"/>
      <c r="R51" s="10" t="s">
        <v>222</v>
      </c>
      <c r="S51" s="3"/>
      <c r="T51" s="3"/>
      <c r="U51" s="3"/>
    </row>
    <row r="52" spans="6:21" ht="12.95" customHeight="1" x14ac:dyDescent="0.25">
      <c r="F52" s="148" t="s">
        <v>312</v>
      </c>
      <c r="G52" s="149" t="s">
        <v>315</v>
      </c>
      <c r="H52" s="150" t="s">
        <v>153</v>
      </c>
      <c r="I52" s="151"/>
      <c r="J52" s="152">
        <v>324000</v>
      </c>
      <c r="K52" s="147"/>
      <c r="L52" s="147"/>
      <c r="M52" s="26"/>
      <c r="N52" s="134"/>
      <c r="R52" s="10" t="s">
        <v>221</v>
      </c>
      <c r="S52" s="3">
        <v>0</v>
      </c>
      <c r="T52" s="3"/>
      <c r="U52" s="3">
        <v>0</v>
      </c>
    </row>
    <row r="53" spans="6:21" x14ac:dyDescent="0.25">
      <c r="F53" s="148" t="s">
        <v>313</v>
      </c>
      <c r="G53" s="149" t="s">
        <v>316</v>
      </c>
      <c r="H53" s="153" t="s">
        <v>153</v>
      </c>
      <c r="I53" s="151"/>
      <c r="J53" s="152">
        <v>600000</v>
      </c>
      <c r="K53" s="147"/>
      <c r="L53" s="147"/>
      <c r="M53" s="26"/>
      <c r="N53" s="134"/>
      <c r="R53" s="10" t="s">
        <v>223</v>
      </c>
      <c r="S53" s="3">
        <v>402789.11599999998</v>
      </c>
      <c r="T53" s="3"/>
      <c r="U53" s="3">
        <v>402789.11599999998</v>
      </c>
    </row>
    <row r="54" spans="6:21" x14ac:dyDescent="0.25">
      <c r="F54" s="33" t="s">
        <v>156</v>
      </c>
      <c r="G54" s="34" t="s">
        <v>23</v>
      </c>
      <c r="H54" s="35" t="s">
        <v>216</v>
      </c>
      <c r="I54" s="36" t="s">
        <v>155</v>
      </c>
      <c r="J54" s="37">
        <v>608000</v>
      </c>
      <c r="K54" s="38">
        <f>SUMPRODUCT((AnalíticoNC!$C$3:$C$917=SintéticoNC!F54)*(AnalíticoNC!$H$3:$H$917))</f>
        <v>0</v>
      </c>
      <c r="L54" s="38">
        <f>SUMPRODUCT((AnalíticoNC!$C$3:$C$917=SintéticoNC!F54)*(AnalíticoNC!$G$3:$G$917))</f>
        <v>4239.4563199999993</v>
      </c>
      <c r="M54" s="26">
        <f t="shared" si="0"/>
        <v>612239.45632</v>
      </c>
      <c r="N54" s="134">
        <f t="shared" si="1"/>
        <v>0</v>
      </c>
      <c r="R54" s="2" t="s">
        <v>57</v>
      </c>
      <c r="S54" s="8"/>
      <c r="T54" s="8"/>
      <c r="U54" s="8"/>
    </row>
    <row r="55" spans="6:21" x14ac:dyDescent="0.25">
      <c r="F55" s="21" t="s">
        <v>158</v>
      </c>
      <c r="G55" s="22" t="s">
        <v>23</v>
      </c>
      <c r="H55" s="23" t="s">
        <v>216</v>
      </c>
      <c r="I55" s="24" t="s">
        <v>157</v>
      </c>
      <c r="J55" s="27">
        <v>175000</v>
      </c>
      <c r="K55" s="26">
        <f>SUMPRODUCT((AnalíticoNC!$C$3:$C$917=SintéticoNC!F55)*(AnalíticoNC!$H$3:$H$917))</f>
        <v>0</v>
      </c>
      <c r="L55" s="26">
        <f>SUMPRODUCT((AnalíticoNC!$C$3:$C$917=SintéticoNC!F55)*(AnalíticoNC!$G$3:$G$917))</f>
        <v>1220.2382499999999</v>
      </c>
      <c r="M55" s="26">
        <f t="shared" si="0"/>
        <v>176220.23824999999</v>
      </c>
      <c r="N55" s="134">
        <f t="shared" si="1"/>
        <v>0</v>
      </c>
      <c r="R55" s="10" t="s">
        <v>222</v>
      </c>
      <c r="S55" s="3"/>
      <c r="T55" s="3"/>
      <c r="U55" s="3"/>
    </row>
    <row r="56" spans="6:21" x14ac:dyDescent="0.25">
      <c r="F56" s="21" t="s">
        <v>160</v>
      </c>
      <c r="G56" s="22" t="s">
        <v>23</v>
      </c>
      <c r="H56" s="23" t="s">
        <v>216</v>
      </c>
      <c r="I56" s="24" t="s">
        <v>159</v>
      </c>
      <c r="J56" s="27">
        <v>750000</v>
      </c>
      <c r="K56" s="26">
        <f>SUMPRODUCT((AnalíticoNC!$C$3:$C$917=SintéticoNC!F56)*(AnalíticoNC!$H$3:$H$917))</f>
        <v>0</v>
      </c>
      <c r="L56" s="26">
        <f>SUMPRODUCT((AnalíticoNC!$C$3:$C$917=SintéticoNC!F56)*(AnalíticoNC!$G$3:$G$917))</f>
        <v>5229.5924999999997</v>
      </c>
      <c r="M56" s="26">
        <f t="shared" si="0"/>
        <v>755229.59250000003</v>
      </c>
      <c r="N56" s="134">
        <f t="shared" si="1"/>
        <v>0</v>
      </c>
      <c r="R56" s="10" t="s">
        <v>221</v>
      </c>
      <c r="S56" s="3">
        <v>0</v>
      </c>
      <c r="T56" s="3"/>
      <c r="U56" s="3">
        <v>0</v>
      </c>
    </row>
    <row r="57" spans="6:21" x14ac:dyDescent="0.25">
      <c r="F57" s="21" t="s">
        <v>162</v>
      </c>
      <c r="G57" s="22" t="s">
        <v>27</v>
      </c>
      <c r="H57" s="23" t="s">
        <v>216</v>
      </c>
      <c r="I57" s="24" t="s">
        <v>161</v>
      </c>
      <c r="J57" s="27">
        <v>5200000</v>
      </c>
      <c r="K57" s="26">
        <f>SUMPRODUCT((AnalíticoNC!$C$3:$C$917=SintéticoNC!F57)*(AnalíticoNC!$H$3:$H$917))</f>
        <v>0</v>
      </c>
      <c r="L57" s="26">
        <f>SUMPRODUCT((AnalíticoNC!$C$3:$C$917=SintéticoNC!F57)*(AnalíticoNC!$G$3:$G$917))</f>
        <v>36258.507999999994</v>
      </c>
      <c r="M57" s="26">
        <f t="shared" si="0"/>
        <v>5236258.5080000004</v>
      </c>
      <c r="N57" s="134">
        <f t="shared" si="1"/>
        <v>0</v>
      </c>
      <c r="R57" s="10" t="s">
        <v>223</v>
      </c>
      <c r="S57" s="3">
        <v>283300.95943927957</v>
      </c>
      <c r="T57" s="3"/>
      <c r="U57" s="3">
        <v>283300.95943927957</v>
      </c>
    </row>
    <row r="58" spans="6:21" x14ac:dyDescent="0.25">
      <c r="F58" s="21" t="s">
        <v>164</v>
      </c>
      <c r="G58" s="22" t="s">
        <v>29</v>
      </c>
      <c r="H58" s="23" t="s">
        <v>216</v>
      </c>
      <c r="I58" s="24" t="s">
        <v>163</v>
      </c>
      <c r="J58" s="27">
        <v>695280</v>
      </c>
      <c r="K58" s="26">
        <f>SUMPRODUCT((AnalíticoNC!$C$3:$C$917=SintéticoNC!F58)*(AnalíticoNC!$H$3:$H$917))</f>
        <v>0</v>
      </c>
      <c r="L58" s="26">
        <f>SUMPRODUCT((AnalíticoNC!$C$3:$C$917=SintéticoNC!F58)*(AnalíticoNC!$G$3:$G$917))</f>
        <v>4848.0414311999994</v>
      </c>
      <c r="M58" s="26">
        <f t="shared" si="0"/>
        <v>700128.04143119999</v>
      </c>
      <c r="N58" s="134">
        <f t="shared" si="1"/>
        <v>0</v>
      </c>
      <c r="R58" s="2" t="s">
        <v>60</v>
      </c>
      <c r="S58" s="8"/>
      <c r="T58" s="8"/>
      <c r="U58" s="8"/>
    </row>
    <row r="59" spans="6:21" x14ac:dyDescent="0.25">
      <c r="F59" s="21" t="s">
        <v>166</v>
      </c>
      <c r="G59" s="22" t="s">
        <v>31</v>
      </c>
      <c r="H59" s="23" t="s">
        <v>216</v>
      </c>
      <c r="I59" s="24" t="s">
        <v>165</v>
      </c>
      <c r="J59" s="27">
        <v>783000</v>
      </c>
      <c r="K59" s="26">
        <f>SUMPRODUCT((AnalíticoNC!$C$3:$C$917=SintéticoNC!F59)*(AnalíticoNC!$H$3:$H$917))</f>
        <v>0</v>
      </c>
      <c r="L59" s="26">
        <f>SUMPRODUCT((AnalíticoNC!$C$3:$C$917=SintéticoNC!F59)*(AnalíticoNC!$G$3:$G$917))</f>
        <v>5459.6945699999997</v>
      </c>
      <c r="M59" s="26">
        <f t="shared" si="0"/>
        <v>788459.69457000005</v>
      </c>
      <c r="N59" s="134">
        <f t="shared" si="1"/>
        <v>0</v>
      </c>
      <c r="R59" s="10" t="s">
        <v>222</v>
      </c>
      <c r="S59" s="3"/>
      <c r="T59" s="3"/>
      <c r="U59" s="3"/>
    </row>
    <row r="60" spans="6:21" x14ac:dyDescent="0.25">
      <c r="F60" s="21" t="s">
        <v>168</v>
      </c>
      <c r="G60" s="22" t="s">
        <v>31</v>
      </c>
      <c r="H60" s="23" t="s">
        <v>216</v>
      </c>
      <c r="I60" s="24" t="s">
        <v>167</v>
      </c>
      <c r="J60" s="27">
        <v>840153.99</v>
      </c>
      <c r="K60" s="26">
        <f>SUMPRODUCT((AnalíticoNC!$C$3:$C$917=SintéticoNC!F60)*(AnalíticoNC!$H$3:$H$917))</f>
        <v>0</v>
      </c>
      <c r="L60" s="26">
        <f>SUMPRODUCT((AnalíticoNC!$C$3:$C$917=SintéticoNC!F60)*(AnalíticoNC!$G$3:$G$917))</f>
        <v>5858.2173399321</v>
      </c>
      <c r="M60" s="26">
        <f t="shared" si="0"/>
        <v>846012.20733993209</v>
      </c>
      <c r="N60" s="134">
        <f t="shared" si="1"/>
        <v>0</v>
      </c>
      <c r="R60" s="10" t="s">
        <v>221</v>
      </c>
      <c r="S60" s="3">
        <v>0</v>
      </c>
      <c r="T60" s="3">
        <v>0</v>
      </c>
      <c r="U60" s="3">
        <v>0</v>
      </c>
    </row>
    <row r="61" spans="6:21" x14ac:dyDescent="0.25">
      <c r="F61" s="21" t="s">
        <v>170</v>
      </c>
      <c r="G61" s="22" t="s">
        <v>37</v>
      </c>
      <c r="H61" s="23" t="s">
        <v>216</v>
      </c>
      <c r="I61" s="24" t="s">
        <v>169</v>
      </c>
      <c r="J61" s="27">
        <v>184000</v>
      </c>
      <c r="K61" s="26">
        <f>SUMPRODUCT((AnalíticoNC!$C$3:$C$917=SintéticoNC!F61)*(AnalíticoNC!$H$3:$H$917))</f>
        <v>0</v>
      </c>
      <c r="L61" s="26">
        <f>SUMPRODUCT((AnalíticoNC!$C$3:$C$917=SintéticoNC!F61)*(AnalíticoNC!$G$3:$G$917))</f>
        <v>1282.9933599999999</v>
      </c>
      <c r="M61" s="26">
        <f t="shared" si="0"/>
        <v>185282.99335999999</v>
      </c>
      <c r="N61" s="134">
        <f t="shared" si="1"/>
        <v>0</v>
      </c>
      <c r="R61" s="10" t="s">
        <v>223</v>
      </c>
      <c r="S61" s="3">
        <v>82156.865781336295</v>
      </c>
      <c r="T61" s="3">
        <v>42172.020445200003</v>
      </c>
      <c r="U61" s="3">
        <v>124328.8862265363</v>
      </c>
    </row>
    <row r="62" spans="6:21" x14ac:dyDescent="0.25">
      <c r="F62" s="21" t="s">
        <v>172</v>
      </c>
      <c r="G62" s="22" t="s">
        <v>37</v>
      </c>
      <c r="H62" s="23" t="s">
        <v>216</v>
      </c>
      <c r="I62" s="24" t="s">
        <v>171</v>
      </c>
      <c r="J62" s="27">
        <v>312420</v>
      </c>
      <c r="K62" s="26">
        <f>SUMPRODUCT((AnalíticoNC!$C$3:$C$917=SintéticoNC!F62)*(AnalíticoNC!$H$3:$H$917))</f>
        <v>0</v>
      </c>
      <c r="L62" s="26">
        <f>SUMPRODUCT((AnalíticoNC!$C$3:$C$917=SintéticoNC!F62)*(AnalíticoNC!$G$3:$G$917))</f>
        <v>2178.4390518</v>
      </c>
      <c r="M62" s="26">
        <f t="shared" si="0"/>
        <v>314598.4390518</v>
      </c>
      <c r="N62" s="134">
        <f t="shared" si="1"/>
        <v>0</v>
      </c>
      <c r="R62" s="2" t="s">
        <v>63</v>
      </c>
      <c r="S62" s="8"/>
      <c r="T62" s="8"/>
      <c r="U62" s="8"/>
    </row>
    <row r="63" spans="6:21" x14ac:dyDescent="0.25">
      <c r="F63" s="21" t="s">
        <v>174</v>
      </c>
      <c r="G63" s="22" t="s">
        <v>45</v>
      </c>
      <c r="H63" s="23" t="s">
        <v>216</v>
      </c>
      <c r="I63" s="24" t="s">
        <v>173</v>
      </c>
      <c r="J63" s="27">
        <v>61500</v>
      </c>
      <c r="K63" s="26">
        <f>SUMPRODUCT((AnalíticoNC!$C$3:$C$917=SintéticoNC!F63)*(AnalíticoNC!$H$3:$H$917))</f>
        <v>0</v>
      </c>
      <c r="L63" s="26">
        <f>SUMPRODUCT((AnalíticoNC!$C$3:$C$917=SintéticoNC!F63)*(AnalíticoNC!$G$3:$G$917))</f>
        <v>428.82658499999997</v>
      </c>
      <c r="M63" s="26">
        <f t="shared" si="0"/>
        <v>61928.826585000003</v>
      </c>
      <c r="N63" s="134">
        <f t="shared" si="1"/>
        <v>0</v>
      </c>
      <c r="R63" s="10" t="s">
        <v>222</v>
      </c>
      <c r="S63" s="3"/>
      <c r="T63" s="3"/>
      <c r="U63" s="3"/>
    </row>
    <row r="64" spans="6:21" x14ac:dyDescent="0.25">
      <c r="F64" s="21" t="s">
        <v>176</v>
      </c>
      <c r="G64" s="22" t="s">
        <v>48</v>
      </c>
      <c r="H64" s="23" t="s">
        <v>216</v>
      </c>
      <c r="I64" s="24" t="s">
        <v>175</v>
      </c>
      <c r="J64" s="27">
        <v>93000</v>
      </c>
      <c r="K64" s="26">
        <f>SUMPRODUCT((AnalíticoNC!$C$3:$C$917=SintéticoNC!F64)*(AnalíticoNC!$H$3:$H$917))</f>
        <v>0</v>
      </c>
      <c r="L64" s="26">
        <f>SUMPRODUCT((AnalíticoNC!$C$3:$C$917=SintéticoNC!F64)*(AnalíticoNC!$G$3:$G$917))</f>
        <v>648.46947</v>
      </c>
      <c r="M64" s="26">
        <f t="shared" si="0"/>
        <v>93648.469469999996</v>
      </c>
      <c r="N64" s="134">
        <f t="shared" si="1"/>
        <v>0</v>
      </c>
      <c r="R64" s="10" t="s">
        <v>221</v>
      </c>
      <c r="S64" s="3">
        <v>0</v>
      </c>
      <c r="T64" s="3">
        <v>0</v>
      </c>
      <c r="U64" s="3">
        <v>0</v>
      </c>
    </row>
    <row r="65" spans="6:21" x14ac:dyDescent="0.25">
      <c r="F65" s="21" t="s">
        <v>178</v>
      </c>
      <c r="G65" s="22" t="s">
        <v>51</v>
      </c>
      <c r="H65" s="23" t="s">
        <v>216</v>
      </c>
      <c r="I65" s="24" t="s">
        <v>177</v>
      </c>
      <c r="J65" s="27">
        <v>92000</v>
      </c>
      <c r="K65" s="26">
        <f>SUMPRODUCT((AnalíticoNC!$C$3:$C$917=SintéticoNC!F65)*(AnalíticoNC!$H$3:$H$917))</f>
        <v>0</v>
      </c>
      <c r="L65" s="26">
        <f>SUMPRODUCT((AnalíticoNC!$C$3:$C$917=SintéticoNC!F65)*(AnalíticoNC!$G$3:$G$917))</f>
        <v>641.49667999999997</v>
      </c>
      <c r="M65" s="26">
        <f t="shared" si="0"/>
        <v>92641.496679999997</v>
      </c>
      <c r="N65" s="134">
        <f t="shared" si="1"/>
        <v>0</v>
      </c>
      <c r="R65" s="10" t="s">
        <v>223</v>
      </c>
      <c r="S65" s="3">
        <v>887563.63045465504</v>
      </c>
      <c r="T65" s="3">
        <v>371113.77991776</v>
      </c>
      <c r="U65" s="3">
        <v>1258677.4103724151</v>
      </c>
    </row>
    <row r="66" spans="6:21" x14ac:dyDescent="0.25">
      <c r="F66" s="21" t="s">
        <v>180</v>
      </c>
      <c r="G66" s="22" t="s">
        <v>60</v>
      </c>
      <c r="H66" s="23" t="s">
        <v>216</v>
      </c>
      <c r="I66" s="24" t="s">
        <v>179</v>
      </c>
      <c r="J66" s="27">
        <v>41880</v>
      </c>
      <c r="K66" s="26">
        <f>SUMPRODUCT((AnalíticoNC!$C$3:$C$917=SintéticoNC!F66)*(AnalíticoNC!$H$3:$H$917))</f>
        <v>0</v>
      </c>
      <c r="L66" s="26">
        <f>SUMPRODUCT((AnalíticoNC!$C$3:$C$917=SintéticoNC!F66)*(AnalíticoNC!$G$3:$G$917))</f>
        <v>292.02044519999998</v>
      </c>
      <c r="M66" s="26">
        <f t="shared" si="0"/>
        <v>42172.020445200003</v>
      </c>
      <c r="N66" s="134">
        <f t="shared" si="1"/>
        <v>0</v>
      </c>
      <c r="R66" s="2" t="s">
        <v>66</v>
      </c>
      <c r="S66" s="8"/>
      <c r="T66" s="8"/>
      <c r="U66" s="8"/>
    </row>
    <row r="67" spans="6:21" x14ac:dyDescent="0.25">
      <c r="F67" s="21" t="s">
        <v>182</v>
      </c>
      <c r="G67" s="22" t="s">
        <v>63</v>
      </c>
      <c r="H67" s="23" t="s">
        <v>216</v>
      </c>
      <c r="I67" s="24" t="s">
        <v>181</v>
      </c>
      <c r="J67" s="27">
        <v>368544</v>
      </c>
      <c r="K67" s="26">
        <f>SUMPRODUCT((AnalíticoNC!$C$3:$C$917=SintéticoNC!F67)*(AnalíticoNC!$H$3:$H$917))</f>
        <v>0</v>
      </c>
      <c r="L67" s="26">
        <f>SUMPRODUCT((AnalíticoNC!$C$3:$C$917=SintéticoNC!F67)*(AnalíticoNC!$G$3:$G$917))</f>
        <v>2569.77991776</v>
      </c>
      <c r="M67" s="26">
        <f t="shared" si="0"/>
        <v>371113.77991776</v>
      </c>
      <c r="N67" s="134">
        <f t="shared" si="1"/>
        <v>0</v>
      </c>
      <c r="R67" s="10" t="s">
        <v>222</v>
      </c>
      <c r="S67" s="3"/>
      <c r="T67" s="3"/>
      <c r="U67" s="3"/>
    </row>
    <row r="68" spans="6:21" x14ac:dyDescent="0.25">
      <c r="F68" s="21" t="s">
        <v>184</v>
      </c>
      <c r="G68" s="22" t="s">
        <v>69</v>
      </c>
      <c r="H68" s="23" t="s">
        <v>216</v>
      </c>
      <c r="I68" s="24" t="s">
        <v>183</v>
      </c>
      <c r="J68" s="27">
        <v>93000</v>
      </c>
      <c r="K68" s="26">
        <f>SUMPRODUCT((AnalíticoNC!$C$3:$C$917=SintéticoNC!F68)*(AnalíticoNC!$H$3:$H$917))</f>
        <v>0</v>
      </c>
      <c r="L68" s="26">
        <f>SUMPRODUCT((AnalíticoNC!$C$3:$C$917=SintéticoNC!F68)*(AnalíticoNC!$G$3:$G$917))</f>
        <v>648.46947</v>
      </c>
      <c r="M68" s="26">
        <f t="shared" si="0"/>
        <v>93648.469469999996</v>
      </c>
      <c r="N68" s="134">
        <f t="shared" si="1"/>
        <v>0</v>
      </c>
      <c r="R68" s="10" t="s">
        <v>221</v>
      </c>
      <c r="S68" s="3">
        <v>0</v>
      </c>
      <c r="T68" s="3"/>
      <c r="U68" s="3">
        <v>0</v>
      </c>
    </row>
    <row r="69" spans="6:21" x14ac:dyDescent="0.25">
      <c r="F69" s="21" t="s">
        <v>186</v>
      </c>
      <c r="G69" s="22" t="s">
        <v>78</v>
      </c>
      <c r="H69" s="23" t="s">
        <v>216</v>
      </c>
      <c r="I69" s="24" t="s">
        <v>185</v>
      </c>
      <c r="J69" s="27">
        <v>93000</v>
      </c>
      <c r="K69" s="26">
        <f>SUMPRODUCT((AnalíticoNC!$C$3:$C$917=SintéticoNC!F69)*(AnalíticoNC!$H$3:$H$917))</f>
        <v>0</v>
      </c>
      <c r="L69" s="26">
        <f>SUMPRODUCT((AnalíticoNC!$C$3:$C$917=SintéticoNC!F69)*(AnalíticoNC!$G$3:$G$917))</f>
        <v>648.46947</v>
      </c>
      <c r="M69" s="26">
        <f t="shared" si="0"/>
        <v>93648.469469999996</v>
      </c>
      <c r="N69" s="134">
        <f t="shared" si="1"/>
        <v>0</v>
      </c>
      <c r="R69" s="10" t="s">
        <v>223</v>
      </c>
      <c r="S69" s="3">
        <v>506301.91106029582</v>
      </c>
      <c r="T69" s="3"/>
      <c r="U69" s="3">
        <v>506301.91106029582</v>
      </c>
    </row>
    <row r="70" spans="6:21" x14ac:dyDescent="0.25">
      <c r="F70" s="21" t="s">
        <v>188</v>
      </c>
      <c r="G70" s="22" t="s">
        <v>81</v>
      </c>
      <c r="H70" s="23" t="s">
        <v>216</v>
      </c>
      <c r="I70" s="24" t="s">
        <v>187</v>
      </c>
      <c r="J70" s="27">
        <v>48000</v>
      </c>
      <c r="K70" s="26">
        <f>SUMPRODUCT((AnalíticoNC!$C$3:$C$917=SintéticoNC!F70)*(AnalíticoNC!$H$3:$H$917))</f>
        <v>0</v>
      </c>
      <c r="L70" s="26">
        <f>SUMPRODUCT((AnalíticoNC!$C$3:$C$917=SintéticoNC!F70)*(AnalíticoNC!$G$3:$G$917))</f>
        <v>334.69391999999999</v>
      </c>
      <c r="M70" s="26">
        <f t="shared" si="0"/>
        <v>48334.693919999998</v>
      </c>
      <c r="N70" s="134">
        <f t="shared" si="1"/>
        <v>0</v>
      </c>
      <c r="R70" s="2" t="s">
        <v>69</v>
      </c>
      <c r="S70" s="8"/>
      <c r="T70" s="8"/>
      <c r="U70" s="8"/>
    </row>
    <row r="71" spans="6:21" x14ac:dyDescent="0.25">
      <c r="F71" s="21" t="s">
        <v>190</v>
      </c>
      <c r="G71" s="22" t="s">
        <v>84</v>
      </c>
      <c r="H71" s="23" t="s">
        <v>216</v>
      </c>
      <c r="I71" s="24" t="s">
        <v>189</v>
      </c>
      <c r="J71" s="27">
        <v>155000</v>
      </c>
      <c r="K71" s="26">
        <f>SUMPRODUCT((AnalíticoNC!$C$3:$C$917=SintéticoNC!F71)*(AnalíticoNC!$H$3:$H$917))</f>
        <v>0</v>
      </c>
      <c r="L71" s="26">
        <f>SUMPRODUCT((AnalíticoNC!$C$3:$C$917=SintéticoNC!F71)*(AnalíticoNC!$G$3:$G$917))</f>
        <v>1080.7824499999999</v>
      </c>
      <c r="M71" s="26">
        <f t="shared" ref="M71:M89" si="2">J71+L71-K71</f>
        <v>156080.78245</v>
      </c>
      <c r="N71" s="134">
        <f t="shared" si="1"/>
        <v>0</v>
      </c>
      <c r="R71" s="10" t="s">
        <v>222</v>
      </c>
      <c r="S71" s="3"/>
      <c r="T71" s="3"/>
      <c r="U71" s="3"/>
    </row>
    <row r="72" spans="6:21" x14ac:dyDescent="0.25">
      <c r="F72" s="21" t="s">
        <v>192</v>
      </c>
      <c r="G72" s="22" t="s">
        <v>87</v>
      </c>
      <c r="H72" s="23" t="s">
        <v>216</v>
      </c>
      <c r="I72" s="24" t="s">
        <v>191</v>
      </c>
      <c r="J72" s="27">
        <v>170000</v>
      </c>
      <c r="K72" s="26">
        <f>SUMPRODUCT((AnalíticoNC!$C$3:$C$917=SintéticoNC!F72)*(AnalíticoNC!$H$3:$H$917))</f>
        <v>0</v>
      </c>
      <c r="L72" s="26">
        <f>SUMPRODUCT((AnalíticoNC!$C$3:$C$917=SintéticoNC!F72)*(AnalíticoNC!$G$3:$G$917))</f>
        <v>1185.3742999999999</v>
      </c>
      <c r="M72" s="26">
        <f t="shared" si="2"/>
        <v>171185.3743</v>
      </c>
      <c r="N72" s="134">
        <f t="shared" si="1"/>
        <v>0</v>
      </c>
      <c r="R72" s="10" t="s">
        <v>221</v>
      </c>
      <c r="S72" s="3">
        <v>0</v>
      </c>
      <c r="T72" s="3">
        <v>0</v>
      </c>
      <c r="U72" s="3">
        <v>0</v>
      </c>
    </row>
    <row r="73" spans="6:21" x14ac:dyDescent="0.25">
      <c r="F73" s="21" t="s">
        <v>194</v>
      </c>
      <c r="G73" s="22" t="s">
        <v>93</v>
      </c>
      <c r="H73" s="23" t="s">
        <v>216</v>
      </c>
      <c r="I73" s="24" t="s">
        <v>193</v>
      </c>
      <c r="J73" s="27">
        <v>93000</v>
      </c>
      <c r="K73" s="26">
        <f>SUMPRODUCT((AnalíticoNC!$C$3:$C$917=SintéticoNC!F73)*(AnalíticoNC!$H$3:$H$917))</f>
        <v>0</v>
      </c>
      <c r="L73" s="26">
        <f>SUMPRODUCT((AnalíticoNC!$C$3:$C$917=SintéticoNC!F73)*(AnalíticoNC!$G$3:$G$917))</f>
        <v>648.46947</v>
      </c>
      <c r="M73" s="26">
        <f t="shared" si="2"/>
        <v>93648.469469999996</v>
      </c>
      <c r="N73" s="134">
        <f t="shared" ref="N73:N83" si="3">(K73/(J73+L73))</f>
        <v>0</v>
      </c>
      <c r="R73" s="10" t="s">
        <v>223</v>
      </c>
      <c r="S73" s="3">
        <v>208443.36752999999</v>
      </c>
      <c r="T73" s="3">
        <v>93648.469469999996</v>
      </c>
      <c r="U73" s="3">
        <v>302091.837</v>
      </c>
    </row>
    <row r="74" spans="6:21" x14ac:dyDescent="0.25">
      <c r="F74" s="21" t="s">
        <v>196</v>
      </c>
      <c r="G74" s="22" t="s">
        <v>96</v>
      </c>
      <c r="H74" s="23" t="s">
        <v>216</v>
      </c>
      <c r="I74" s="24" t="s">
        <v>195</v>
      </c>
      <c r="J74" s="27">
        <v>93000</v>
      </c>
      <c r="K74" s="26">
        <f>SUMPRODUCT((AnalíticoNC!$C$3:$C$917=SintéticoNC!F74)*(AnalíticoNC!$H$3:$H$917))</f>
        <v>0</v>
      </c>
      <c r="L74" s="26">
        <f>SUMPRODUCT((AnalíticoNC!$C$3:$C$917=SintéticoNC!F74)*(AnalíticoNC!$G$3:$G$917))</f>
        <v>648.46947</v>
      </c>
      <c r="M74" s="26">
        <f t="shared" si="2"/>
        <v>93648.469469999996</v>
      </c>
      <c r="N74" s="134">
        <f t="shared" si="3"/>
        <v>0</v>
      </c>
      <c r="R74" s="2" t="s">
        <v>72</v>
      </c>
      <c r="S74" s="8"/>
      <c r="T74" s="8"/>
      <c r="U74" s="8"/>
    </row>
    <row r="75" spans="6:21" x14ac:dyDescent="0.25">
      <c r="F75" s="21" t="s">
        <v>198</v>
      </c>
      <c r="G75" s="22" t="s">
        <v>99</v>
      </c>
      <c r="H75" s="23" t="s">
        <v>216</v>
      </c>
      <c r="I75" s="24" t="s">
        <v>197</v>
      </c>
      <c r="J75" s="27">
        <v>170000</v>
      </c>
      <c r="K75" s="26">
        <f>SUMPRODUCT((AnalíticoNC!$C$3:$C$917=SintéticoNC!F75)*(AnalíticoNC!$H$3:$H$917))</f>
        <v>0</v>
      </c>
      <c r="L75" s="26">
        <f>SUMPRODUCT((AnalíticoNC!$C$3:$C$917=SintéticoNC!F75)*(AnalíticoNC!$G$3:$G$917))</f>
        <v>1185.3742999999999</v>
      </c>
      <c r="M75" s="26">
        <f t="shared" si="2"/>
        <v>171185.3743</v>
      </c>
      <c r="N75" s="134">
        <f t="shared" si="3"/>
        <v>0</v>
      </c>
      <c r="R75" s="10" t="s">
        <v>222</v>
      </c>
      <c r="S75" s="3"/>
      <c r="T75" s="3"/>
      <c r="U75" s="3"/>
    </row>
    <row r="76" spans="6:21" x14ac:dyDescent="0.25">
      <c r="F76" s="21" t="s">
        <v>200</v>
      </c>
      <c r="G76" s="22" t="s">
        <v>102</v>
      </c>
      <c r="H76" s="23" t="s">
        <v>216</v>
      </c>
      <c r="I76" s="24" t="s">
        <v>199</v>
      </c>
      <c r="J76" s="27">
        <v>93000</v>
      </c>
      <c r="K76" s="26">
        <f>SUMPRODUCT((AnalíticoNC!$C$3:$C$917=SintéticoNC!F76)*(AnalíticoNC!$H$3:$H$917))</f>
        <v>0</v>
      </c>
      <c r="L76" s="26">
        <f>SUMPRODUCT((AnalíticoNC!$C$3:$C$917=SintéticoNC!F76)*(AnalíticoNC!$G$3:$G$917))</f>
        <v>648.46947</v>
      </c>
      <c r="M76" s="26">
        <f t="shared" si="2"/>
        <v>93648.469469999996</v>
      </c>
      <c r="N76" s="134">
        <f t="shared" si="3"/>
        <v>0</v>
      </c>
      <c r="R76" s="10" t="s">
        <v>221</v>
      </c>
      <c r="S76" s="3">
        <v>0</v>
      </c>
      <c r="T76" s="3"/>
      <c r="U76" s="3">
        <v>0</v>
      </c>
    </row>
    <row r="77" spans="6:21" x14ac:dyDescent="0.25">
      <c r="F77" s="21" t="s">
        <v>202</v>
      </c>
      <c r="G77" s="22" t="s">
        <v>123</v>
      </c>
      <c r="H77" s="23" t="s">
        <v>216</v>
      </c>
      <c r="I77" s="24" t="s">
        <v>201</v>
      </c>
      <c r="J77" s="27">
        <v>192996</v>
      </c>
      <c r="K77" s="26">
        <f>SUMPRODUCT((AnalíticoNC!$C$3:$C$917=SintéticoNC!F77)*(AnalíticoNC!$H$3:$H$917))</f>
        <v>0</v>
      </c>
      <c r="L77" s="26">
        <f>SUMPRODUCT((AnalíticoNC!$C$3:$C$917=SintéticoNC!F77)*(AnalíticoNC!$G$3:$G$917))</f>
        <v>1345.7205788399999</v>
      </c>
      <c r="M77" s="26">
        <f t="shared" si="2"/>
        <v>194341.72057884</v>
      </c>
      <c r="N77" s="134">
        <f t="shared" si="3"/>
        <v>0</v>
      </c>
      <c r="R77" s="10" t="s">
        <v>223</v>
      </c>
      <c r="S77" s="3">
        <v>72671.020983889903</v>
      </c>
      <c r="T77" s="3"/>
      <c r="U77" s="3">
        <v>72671.020983889903</v>
      </c>
    </row>
    <row r="78" spans="6:21" x14ac:dyDescent="0.25">
      <c r="F78" s="21" t="s">
        <v>204</v>
      </c>
      <c r="G78" s="22" t="s">
        <v>132</v>
      </c>
      <c r="H78" s="23" t="s">
        <v>216</v>
      </c>
      <c r="I78" s="24" t="s">
        <v>203</v>
      </c>
      <c r="J78" s="27">
        <v>132614</v>
      </c>
      <c r="K78" s="26">
        <f>SUMPRODUCT((AnalíticoNC!$C$3:$C$917=SintéticoNC!F78)*(AnalíticoNC!$H$3:$H$917))</f>
        <v>0</v>
      </c>
      <c r="L78" s="26">
        <f>SUMPRODUCT((AnalíticoNC!$C$3:$C$917=SintéticoNC!F78)*(AnalíticoNC!$G$3:$G$917))</f>
        <v>924.68957305999993</v>
      </c>
      <c r="M78" s="26">
        <f t="shared" si="2"/>
        <v>133538.68957305999</v>
      </c>
      <c r="N78" s="134">
        <f t="shared" si="3"/>
        <v>0</v>
      </c>
      <c r="R78" s="2" t="s">
        <v>75</v>
      </c>
      <c r="S78" s="8"/>
      <c r="T78" s="8"/>
      <c r="U78" s="8"/>
    </row>
    <row r="79" spans="6:21" x14ac:dyDescent="0.25">
      <c r="F79" s="21" t="s">
        <v>206</v>
      </c>
      <c r="G79" s="22" t="s">
        <v>138</v>
      </c>
      <c r="H79" s="23" t="s">
        <v>216</v>
      </c>
      <c r="I79" s="24" t="s">
        <v>205</v>
      </c>
      <c r="J79" s="27">
        <v>141000</v>
      </c>
      <c r="K79" s="26">
        <f>SUMPRODUCT((AnalíticoNC!$C$3:$C$917=SintéticoNC!F79)*(AnalíticoNC!$H$3:$H$917))</f>
        <v>0</v>
      </c>
      <c r="L79" s="26">
        <f>SUMPRODUCT((AnalíticoNC!$C$3:$C$917=SintéticoNC!F79)*(AnalíticoNC!$G$3:$G$917))</f>
        <v>983.16338999999994</v>
      </c>
      <c r="M79" s="26">
        <f t="shared" si="2"/>
        <v>141983.16339</v>
      </c>
      <c r="N79" s="134">
        <f t="shared" si="3"/>
        <v>0</v>
      </c>
      <c r="R79" s="10" t="s">
        <v>222</v>
      </c>
      <c r="S79" s="3"/>
      <c r="T79" s="3"/>
      <c r="U79" s="3"/>
    </row>
    <row r="80" spans="6:21" x14ac:dyDescent="0.25">
      <c r="F80" s="21" t="s">
        <v>208</v>
      </c>
      <c r="G80" s="22" t="s">
        <v>135</v>
      </c>
      <c r="H80" s="23" t="s">
        <v>216</v>
      </c>
      <c r="I80" s="24" t="s">
        <v>207</v>
      </c>
      <c r="J80" s="27">
        <v>155000</v>
      </c>
      <c r="K80" s="26">
        <f>SUMPRODUCT((AnalíticoNC!$C$3:$C$917=SintéticoNC!F80)*(AnalíticoNC!$H$3:$H$917))</f>
        <v>0</v>
      </c>
      <c r="L80" s="26">
        <f>SUMPRODUCT((AnalíticoNC!$C$3:$C$917=SintéticoNC!F80)*(AnalíticoNC!$G$3:$G$917))</f>
        <v>1080.7824499999999</v>
      </c>
      <c r="M80" s="26">
        <f t="shared" si="2"/>
        <v>156080.78245</v>
      </c>
      <c r="N80" s="134">
        <f t="shared" si="3"/>
        <v>0</v>
      </c>
      <c r="R80" s="10" t="s">
        <v>221</v>
      </c>
      <c r="S80" s="3">
        <v>0</v>
      </c>
      <c r="T80" s="3"/>
      <c r="U80" s="3">
        <v>0</v>
      </c>
    </row>
    <row r="81" spans="6:21" x14ac:dyDescent="0.25">
      <c r="F81" s="21" t="s">
        <v>211</v>
      </c>
      <c r="G81" s="22" t="s">
        <v>209</v>
      </c>
      <c r="H81" s="23" t="s">
        <v>216</v>
      </c>
      <c r="I81" s="24" t="s">
        <v>210</v>
      </c>
      <c r="J81" s="27">
        <v>500000</v>
      </c>
      <c r="K81" s="26">
        <f>SUMPRODUCT((AnalíticoNC!$C$3:$C$917=SintéticoNC!F81)*(AnalíticoNC!$H$3:$H$917))</f>
        <v>0</v>
      </c>
      <c r="L81" s="26">
        <f>SUMPRODUCT((AnalíticoNC!$C$3:$C$917=SintéticoNC!F81)*(AnalíticoNC!$G$3:$G$917))</f>
        <v>3486.395</v>
      </c>
      <c r="M81" s="26">
        <f t="shared" si="2"/>
        <v>503486.39500000002</v>
      </c>
      <c r="N81" s="134">
        <f t="shared" si="3"/>
        <v>0</v>
      </c>
      <c r="R81" s="10" t="s">
        <v>223</v>
      </c>
      <c r="S81" s="3">
        <v>9161.8613719917994</v>
      </c>
      <c r="T81" s="3"/>
      <c r="U81" s="3">
        <v>9161.8613719917994</v>
      </c>
    </row>
    <row r="82" spans="6:21" x14ac:dyDescent="0.25">
      <c r="F82" s="21" t="s">
        <v>213</v>
      </c>
      <c r="G82" s="22" t="s">
        <v>40</v>
      </c>
      <c r="H82" s="23" t="s">
        <v>216</v>
      </c>
      <c r="I82" s="24" t="s">
        <v>212</v>
      </c>
      <c r="J82" s="27">
        <v>93000</v>
      </c>
      <c r="K82" s="26">
        <f>SUMPRODUCT((AnalíticoNC!$C$3:$C$917=SintéticoNC!F82)*(AnalíticoNC!$H$3:$H$917))</f>
        <v>0</v>
      </c>
      <c r="L82" s="26">
        <f>SUMPRODUCT((AnalíticoNC!$C$3:$C$917=SintéticoNC!F82)*(AnalíticoNC!$G$3:$G$917))</f>
        <v>648.46947</v>
      </c>
      <c r="M82" s="26">
        <f t="shared" si="2"/>
        <v>93648.469469999996</v>
      </c>
      <c r="N82" s="134">
        <f t="shared" si="3"/>
        <v>0</v>
      </c>
      <c r="R82" s="2" t="s">
        <v>78</v>
      </c>
      <c r="S82" s="8"/>
      <c r="T82" s="8"/>
      <c r="U82" s="8"/>
    </row>
    <row r="83" spans="6:21" x14ac:dyDescent="0.25">
      <c r="F83" s="21" t="s">
        <v>215</v>
      </c>
      <c r="G83" s="22" t="s">
        <v>90</v>
      </c>
      <c r="H83" s="23" t="s">
        <v>216</v>
      </c>
      <c r="I83" s="24" t="s">
        <v>214</v>
      </c>
      <c r="J83" s="27">
        <v>28000</v>
      </c>
      <c r="K83" s="26">
        <f>SUMPRODUCT((AnalíticoNC!$C$3:$C$917=SintéticoNC!F83)*(AnalíticoNC!$H$3:$H$917))</f>
        <v>0</v>
      </c>
      <c r="L83" s="26">
        <f>SUMPRODUCT((AnalíticoNC!$C$3:$C$917=SintéticoNC!F83)*(AnalíticoNC!$G$3:$G$917))</f>
        <v>195.23811999999998</v>
      </c>
      <c r="M83" s="26">
        <f t="shared" si="2"/>
        <v>28195.238120000002</v>
      </c>
      <c r="N83" s="134">
        <f t="shared" si="3"/>
        <v>0</v>
      </c>
      <c r="R83" s="10" t="s">
        <v>222</v>
      </c>
      <c r="S83" s="3"/>
      <c r="T83" s="3"/>
      <c r="U83" s="3"/>
    </row>
    <row r="84" spans="6:21" x14ac:dyDescent="0.25">
      <c r="F84" s="148" t="s">
        <v>317</v>
      </c>
      <c r="G84" s="149" t="s">
        <v>315</v>
      </c>
      <c r="H84" s="150" t="s">
        <v>216</v>
      </c>
      <c r="I84" s="154"/>
      <c r="J84" s="155">
        <v>176000</v>
      </c>
      <c r="K84" s="26"/>
      <c r="L84" s="26"/>
      <c r="M84" s="26"/>
      <c r="N84" s="134"/>
      <c r="R84" s="10" t="s">
        <v>221</v>
      </c>
      <c r="S84" s="3">
        <v>0</v>
      </c>
      <c r="T84" s="3">
        <v>0</v>
      </c>
      <c r="U84" s="3">
        <v>0</v>
      </c>
    </row>
    <row r="85" spans="6:21" x14ac:dyDescent="0.25">
      <c r="F85" s="131" t="s">
        <v>281</v>
      </c>
      <c r="G85" s="129" t="s">
        <v>35</v>
      </c>
      <c r="H85" s="130" t="s">
        <v>153</v>
      </c>
      <c r="I85" s="130"/>
      <c r="J85" s="27"/>
      <c r="K85" s="26" cm="1">
        <f t="array" ref="K85">SUMPRODUCT((AnalíticoNC!$C$3:$C$977=F85)*(AnalíticoNC!$H$3:$H$977))</f>
        <v>0</v>
      </c>
      <c r="L85" s="26" cm="1">
        <f t="array" ref="L85">SUMPRODUCT((AnalíticoNC!$C$3:$C$977=SintéticoNC!F85)*(AnalíticoNC!$G$3:$G$977))</f>
        <v>0</v>
      </c>
      <c r="M85" s="26">
        <f t="shared" si="2"/>
        <v>0</v>
      </c>
      <c r="N85" s="134">
        <f>IF(J85="",0,K85/(J85+L85))</f>
        <v>0</v>
      </c>
      <c r="R85" s="10" t="s">
        <v>223</v>
      </c>
      <c r="S85" s="3">
        <v>208443.36752999999</v>
      </c>
      <c r="T85" s="3">
        <v>93648.469469999996</v>
      </c>
      <c r="U85" s="3">
        <v>302091.837</v>
      </c>
    </row>
    <row r="86" spans="6:21" x14ac:dyDescent="0.25">
      <c r="F86" s="131" t="s">
        <v>282</v>
      </c>
      <c r="G86" s="129" t="s">
        <v>277</v>
      </c>
      <c r="H86" s="130" t="s">
        <v>153</v>
      </c>
      <c r="I86" s="130"/>
      <c r="J86" s="27"/>
      <c r="K86" s="26" cm="1">
        <f t="array" ref="K86">SUMPRODUCT((AnalíticoNC!$C$3:$C$977=F86)*(AnalíticoNC!$H$3:$H$977))</f>
        <v>0</v>
      </c>
      <c r="L86" s="26" cm="1">
        <f t="array" ref="L86">SUMPRODUCT((AnalíticoNC!$C$3:$C$977=SintéticoNC!F86)*(AnalíticoNC!$G$3:$G$977))</f>
        <v>0</v>
      </c>
      <c r="M86" s="26">
        <f t="shared" si="2"/>
        <v>0</v>
      </c>
      <c r="N86" s="134">
        <f t="shared" ref="N86:N89" si="4">IF(J86="",0,K86/(J86+L86))</f>
        <v>0</v>
      </c>
      <c r="R86" s="2" t="s">
        <v>81</v>
      </c>
      <c r="S86" s="8"/>
      <c r="T86" s="8"/>
      <c r="U86" s="8"/>
    </row>
    <row r="87" spans="6:21" x14ac:dyDescent="0.25">
      <c r="F87" s="131" t="s">
        <v>283</v>
      </c>
      <c r="G87" s="129" t="s">
        <v>278</v>
      </c>
      <c r="H87" s="130" t="s">
        <v>153</v>
      </c>
      <c r="I87" s="130"/>
      <c r="J87" s="27"/>
      <c r="K87" s="26" cm="1">
        <f t="array" ref="K87">SUMPRODUCT((AnalíticoNC!$C$3:$C$977=F87)*(AnalíticoNC!$H$3:$H$977))</f>
        <v>0</v>
      </c>
      <c r="L87" s="26" cm="1">
        <f t="array" ref="L87">SUMPRODUCT((AnalíticoNC!$C$3:$C$977=SintéticoNC!F87)*(AnalíticoNC!$G$3:$G$977))</f>
        <v>0</v>
      </c>
      <c r="M87" s="26">
        <f t="shared" si="2"/>
        <v>0</v>
      </c>
      <c r="N87" s="134">
        <f t="shared" si="4"/>
        <v>0</v>
      </c>
      <c r="R87" s="10" t="s">
        <v>222</v>
      </c>
      <c r="S87" s="3"/>
      <c r="T87" s="3"/>
      <c r="U87" s="3"/>
    </row>
    <row r="88" spans="6:21" x14ac:dyDescent="0.25">
      <c r="F88" s="131" t="s">
        <v>284</v>
      </c>
      <c r="G88" s="129" t="s">
        <v>279</v>
      </c>
      <c r="H88" s="130" t="s">
        <v>153</v>
      </c>
      <c r="I88" s="130"/>
      <c r="J88" s="27"/>
      <c r="K88" s="26" cm="1">
        <f t="array" ref="K88">SUMPRODUCT((AnalíticoNC!$C$3:$C$977=F88)*(AnalíticoNC!$H$3:$H$977))</f>
        <v>0</v>
      </c>
      <c r="L88" s="26" cm="1">
        <f t="array" ref="L88">SUMPRODUCT((AnalíticoNC!$C$3:$C$977=SintéticoNC!F88)*(AnalíticoNC!$G$3:$G$977))</f>
        <v>0</v>
      </c>
      <c r="M88" s="26">
        <f t="shared" si="2"/>
        <v>0</v>
      </c>
      <c r="N88" s="134">
        <f t="shared" si="4"/>
        <v>0</v>
      </c>
      <c r="R88" s="10" t="s">
        <v>221</v>
      </c>
      <c r="S88" s="3">
        <v>0</v>
      </c>
      <c r="T88" s="3">
        <v>0</v>
      </c>
      <c r="U88" s="3">
        <v>0</v>
      </c>
    </row>
    <row r="89" spans="6:21" x14ac:dyDescent="0.25">
      <c r="F89" s="131" t="s">
        <v>285</v>
      </c>
      <c r="G89" s="129" t="s">
        <v>280</v>
      </c>
      <c r="H89" s="130" t="s">
        <v>153</v>
      </c>
      <c r="I89" s="130"/>
      <c r="J89" s="27"/>
      <c r="K89" s="26" cm="1">
        <f t="array" ref="K89">SUMPRODUCT((AnalíticoNC!$C$3:$C$977=F89)*(AnalíticoNC!$H$3:$H$977))</f>
        <v>0</v>
      </c>
      <c r="L89" s="26" cm="1">
        <f t="array" ref="L89">SUMPRODUCT((AnalíticoNC!$C$3:$C$977=SintéticoNC!F89)*(AnalíticoNC!$G$3:$G$977))</f>
        <v>0</v>
      </c>
      <c r="M89" s="26">
        <f t="shared" si="2"/>
        <v>0</v>
      </c>
      <c r="N89" s="134">
        <f t="shared" si="4"/>
        <v>0</v>
      </c>
      <c r="R89" s="10" t="s">
        <v>223</v>
      </c>
      <c r="S89" s="3">
        <v>102711.22457999999</v>
      </c>
      <c r="T89" s="3">
        <v>48334.693919999998</v>
      </c>
      <c r="U89" s="3">
        <v>151045.9185</v>
      </c>
    </row>
    <row r="90" spans="6:21" x14ac:dyDescent="0.25">
      <c r="R90" s="2" t="s">
        <v>84</v>
      </c>
      <c r="S90" s="8"/>
      <c r="T90" s="8"/>
      <c r="U90" s="8"/>
    </row>
    <row r="91" spans="6:21" x14ac:dyDescent="0.25">
      <c r="R91" s="10" t="s">
        <v>222</v>
      </c>
      <c r="S91" s="3"/>
      <c r="T91" s="3"/>
      <c r="U91" s="3"/>
    </row>
    <row r="92" spans="6:21" x14ac:dyDescent="0.25">
      <c r="R92" s="10" t="s">
        <v>221</v>
      </c>
      <c r="S92" s="3">
        <v>0</v>
      </c>
      <c r="T92" s="3">
        <v>0</v>
      </c>
      <c r="U92" s="3">
        <v>0</v>
      </c>
    </row>
    <row r="93" spans="6:21" x14ac:dyDescent="0.25">
      <c r="R93" s="10" t="s">
        <v>223</v>
      </c>
      <c r="S93" s="3">
        <v>347405.61255000002</v>
      </c>
      <c r="T93" s="3">
        <v>156080.78245</v>
      </c>
      <c r="U93" s="3">
        <v>503486.39500000002</v>
      </c>
    </row>
    <row r="94" spans="6:21" x14ac:dyDescent="0.25">
      <c r="R94" s="2" t="s">
        <v>87</v>
      </c>
      <c r="S94" s="8"/>
      <c r="T94" s="8"/>
      <c r="U94" s="8"/>
    </row>
    <row r="95" spans="6:21" x14ac:dyDescent="0.25">
      <c r="R95" s="10" t="s">
        <v>222</v>
      </c>
      <c r="S95" s="3"/>
      <c r="T95" s="3"/>
      <c r="U95" s="3"/>
    </row>
    <row r="96" spans="6:21" x14ac:dyDescent="0.25">
      <c r="R96" s="10" t="s">
        <v>221</v>
      </c>
      <c r="S96" s="3">
        <v>0</v>
      </c>
      <c r="T96" s="3">
        <v>0</v>
      </c>
      <c r="U96" s="3">
        <v>0</v>
      </c>
    </row>
    <row r="97" spans="18:21" x14ac:dyDescent="0.25">
      <c r="R97" s="10" t="s">
        <v>223</v>
      </c>
      <c r="S97" s="3">
        <v>432998.29969999997</v>
      </c>
      <c r="T97" s="3">
        <v>171185.3743</v>
      </c>
      <c r="U97" s="3">
        <v>604183.674</v>
      </c>
    </row>
    <row r="98" spans="18:21" x14ac:dyDescent="0.25">
      <c r="R98" s="2" t="s">
        <v>90</v>
      </c>
      <c r="S98" s="8"/>
      <c r="T98" s="8"/>
      <c r="U98" s="8"/>
    </row>
    <row r="99" spans="18:21" x14ac:dyDescent="0.25">
      <c r="R99" s="10" t="s">
        <v>222</v>
      </c>
      <c r="S99" s="3"/>
      <c r="T99" s="3"/>
      <c r="U99" s="3"/>
    </row>
    <row r="100" spans="18:21" x14ac:dyDescent="0.25">
      <c r="R100" s="10" t="s">
        <v>221</v>
      </c>
      <c r="S100" s="3">
        <v>0</v>
      </c>
      <c r="T100" s="3">
        <v>0</v>
      </c>
      <c r="U100" s="3">
        <v>0</v>
      </c>
    </row>
    <row r="101" spans="18:21" x14ac:dyDescent="0.25">
      <c r="R101" s="10" t="s">
        <v>223</v>
      </c>
      <c r="S101" s="3">
        <v>66563.217456416998</v>
      </c>
      <c r="T101" s="3">
        <v>28195.238120000002</v>
      </c>
      <c r="U101" s="3">
        <v>94758.455576417007</v>
      </c>
    </row>
    <row r="102" spans="18:21" x14ac:dyDescent="0.25">
      <c r="R102" s="2" t="s">
        <v>93</v>
      </c>
      <c r="S102" s="8"/>
      <c r="T102" s="8"/>
      <c r="U102" s="8"/>
    </row>
    <row r="103" spans="18:21" x14ac:dyDescent="0.25">
      <c r="R103" s="10" t="s">
        <v>222</v>
      </c>
      <c r="S103" s="3"/>
      <c r="T103" s="3"/>
      <c r="U103" s="3"/>
    </row>
    <row r="104" spans="18:21" x14ac:dyDescent="0.25">
      <c r="R104" s="10" t="s">
        <v>221</v>
      </c>
      <c r="S104" s="3">
        <v>0</v>
      </c>
      <c r="T104" s="3">
        <v>0</v>
      </c>
      <c r="U104" s="3">
        <v>0</v>
      </c>
    </row>
    <row r="105" spans="18:21" x14ac:dyDescent="0.25">
      <c r="R105" s="10" t="s">
        <v>223</v>
      </c>
      <c r="S105" s="3">
        <v>2492.2979341616001</v>
      </c>
      <c r="T105" s="3">
        <v>93648.469469999996</v>
      </c>
      <c r="U105" s="3">
        <v>96140.767404161597</v>
      </c>
    </row>
    <row r="106" spans="18:21" x14ac:dyDescent="0.25">
      <c r="R106" s="2" t="s">
        <v>96</v>
      </c>
      <c r="S106" s="8"/>
      <c r="T106" s="8"/>
      <c r="U106" s="8"/>
    </row>
    <row r="107" spans="18:21" x14ac:dyDescent="0.25">
      <c r="R107" s="10" t="s">
        <v>222</v>
      </c>
      <c r="S107" s="3"/>
      <c r="T107" s="3"/>
      <c r="U107" s="3"/>
    </row>
    <row r="108" spans="18:21" x14ac:dyDescent="0.25">
      <c r="R108" s="10" t="s">
        <v>221</v>
      </c>
      <c r="S108" s="3">
        <v>0</v>
      </c>
      <c r="T108" s="3">
        <v>0</v>
      </c>
      <c r="U108" s="3">
        <v>0</v>
      </c>
    </row>
    <row r="109" spans="18:21" x14ac:dyDescent="0.25">
      <c r="R109" s="10" t="s">
        <v>223</v>
      </c>
      <c r="S109" s="3">
        <v>208443.36752999999</v>
      </c>
      <c r="T109" s="3">
        <v>93648.469469999996</v>
      </c>
      <c r="U109" s="3">
        <v>302091.837</v>
      </c>
    </row>
    <row r="110" spans="18:21" x14ac:dyDescent="0.25">
      <c r="R110" s="2" t="s">
        <v>99</v>
      </c>
      <c r="S110" s="8"/>
      <c r="T110" s="8"/>
      <c r="U110" s="8"/>
    </row>
    <row r="111" spans="18:21" x14ac:dyDescent="0.25">
      <c r="R111" s="10" t="s">
        <v>222</v>
      </c>
      <c r="S111" s="3"/>
      <c r="T111" s="3"/>
      <c r="U111" s="3"/>
    </row>
    <row r="112" spans="18:21" x14ac:dyDescent="0.25">
      <c r="R112" s="10" t="s">
        <v>221</v>
      </c>
      <c r="S112" s="3">
        <v>0</v>
      </c>
      <c r="T112" s="3">
        <v>0</v>
      </c>
      <c r="U112" s="3">
        <v>0</v>
      </c>
    </row>
    <row r="113" spans="18:21" x14ac:dyDescent="0.25">
      <c r="R113" s="10" t="s">
        <v>223</v>
      </c>
      <c r="S113" s="3">
        <v>411222.61381352897</v>
      </c>
      <c r="T113" s="3">
        <v>171185.3743</v>
      </c>
      <c r="U113" s="3">
        <v>582407.98811352893</v>
      </c>
    </row>
    <row r="114" spans="18:21" x14ac:dyDescent="0.25">
      <c r="R114" s="2" t="s">
        <v>102</v>
      </c>
      <c r="S114" s="8"/>
      <c r="T114" s="8"/>
      <c r="U114" s="8"/>
    </row>
    <row r="115" spans="18:21" x14ac:dyDescent="0.25">
      <c r="R115" s="10" t="s">
        <v>222</v>
      </c>
      <c r="S115" s="3"/>
      <c r="T115" s="3"/>
      <c r="U115" s="3"/>
    </row>
    <row r="116" spans="18:21" x14ac:dyDescent="0.25">
      <c r="R116" s="10" t="s">
        <v>221</v>
      </c>
      <c r="S116" s="3">
        <v>0</v>
      </c>
      <c r="T116" s="3">
        <v>0</v>
      </c>
      <c r="U116" s="3">
        <v>0</v>
      </c>
    </row>
    <row r="117" spans="18:21" x14ac:dyDescent="0.25">
      <c r="R117" s="10" t="s">
        <v>223</v>
      </c>
      <c r="S117" s="3">
        <v>208443.36752999999</v>
      </c>
      <c r="T117" s="3">
        <v>93648.469469999996</v>
      </c>
      <c r="U117" s="3">
        <v>302091.837</v>
      </c>
    </row>
    <row r="118" spans="18:21" x14ac:dyDescent="0.25">
      <c r="R118" s="2" t="s">
        <v>209</v>
      </c>
      <c r="S118" s="8"/>
      <c r="T118" s="8"/>
      <c r="U118" s="8"/>
    </row>
    <row r="119" spans="18:21" x14ac:dyDescent="0.25">
      <c r="R119" s="10" t="s">
        <v>222</v>
      </c>
      <c r="S119" s="3"/>
      <c r="T119" s="3"/>
      <c r="U119" s="3"/>
    </row>
    <row r="120" spans="18:21" x14ac:dyDescent="0.25">
      <c r="R120" s="10" t="s">
        <v>221</v>
      </c>
      <c r="S120" s="3"/>
      <c r="T120" s="3">
        <v>0</v>
      </c>
      <c r="U120" s="3">
        <v>0</v>
      </c>
    </row>
    <row r="121" spans="18:21" x14ac:dyDescent="0.25">
      <c r="R121" s="10" t="s">
        <v>223</v>
      </c>
      <c r="S121" s="3"/>
      <c r="T121" s="3">
        <v>503486.39500000002</v>
      </c>
      <c r="U121" s="3">
        <v>503486.39500000002</v>
      </c>
    </row>
    <row r="122" spans="18:21" x14ac:dyDescent="0.25">
      <c r="R122" s="2" t="s">
        <v>112</v>
      </c>
      <c r="S122" s="8"/>
      <c r="T122" s="8"/>
      <c r="U122" s="8"/>
    </row>
    <row r="123" spans="18:21" x14ac:dyDescent="0.25">
      <c r="R123" s="10" t="s">
        <v>222</v>
      </c>
      <c r="S123" s="3"/>
      <c r="T123" s="3"/>
      <c r="U123" s="3"/>
    </row>
    <row r="124" spans="18:21" x14ac:dyDescent="0.25">
      <c r="R124" s="10" t="s">
        <v>221</v>
      </c>
      <c r="S124" s="3">
        <v>0</v>
      </c>
      <c r="T124" s="3"/>
      <c r="U124" s="3">
        <v>0</v>
      </c>
    </row>
    <row r="125" spans="18:21" x14ac:dyDescent="0.25">
      <c r="R125" s="10" t="s">
        <v>223</v>
      </c>
      <c r="S125" s="3">
        <v>20687448.37837242</v>
      </c>
      <c r="T125" s="3"/>
      <c r="U125" s="3">
        <v>20687448.37837242</v>
      </c>
    </row>
    <row r="126" spans="18:21" x14ac:dyDescent="0.25">
      <c r="R126" s="2" t="s">
        <v>117</v>
      </c>
      <c r="S126" s="8"/>
      <c r="T126" s="8"/>
      <c r="U126" s="8"/>
    </row>
    <row r="127" spans="18:21" x14ac:dyDescent="0.25">
      <c r="R127" s="10" t="s">
        <v>222</v>
      </c>
      <c r="S127" s="3"/>
      <c r="T127" s="3"/>
      <c r="U127" s="3"/>
    </row>
    <row r="128" spans="18:21" x14ac:dyDescent="0.25">
      <c r="R128" s="10" t="s">
        <v>221</v>
      </c>
      <c r="S128" s="3">
        <v>0</v>
      </c>
      <c r="T128" s="3"/>
      <c r="U128" s="3">
        <v>0</v>
      </c>
    </row>
    <row r="129" spans="18:21" x14ac:dyDescent="0.25">
      <c r="R129" s="10" t="s">
        <v>223</v>
      </c>
      <c r="S129" s="3">
        <v>630294.98193109501</v>
      </c>
      <c r="T129" s="3"/>
      <c r="U129" s="3">
        <v>630294.98193109501</v>
      </c>
    </row>
    <row r="130" spans="18:21" x14ac:dyDescent="0.25">
      <c r="R130" s="2" t="s">
        <v>105</v>
      </c>
      <c r="S130" s="8"/>
      <c r="T130" s="8"/>
      <c r="U130" s="8"/>
    </row>
    <row r="131" spans="18:21" x14ac:dyDescent="0.25">
      <c r="R131" s="10" t="s">
        <v>222</v>
      </c>
      <c r="S131" s="3"/>
      <c r="T131" s="3"/>
      <c r="U131" s="3"/>
    </row>
    <row r="132" spans="18:21" x14ac:dyDescent="0.25">
      <c r="R132" s="10" t="s">
        <v>221</v>
      </c>
      <c r="S132" s="3">
        <v>0</v>
      </c>
      <c r="T132" s="3"/>
      <c r="U132" s="3">
        <v>0</v>
      </c>
    </row>
    <row r="133" spans="18:21" x14ac:dyDescent="0.25">
      <c r="R133" s="10" t="s">
        <v>223</v>
      </c>
      <c r="S133" s="3">
        <v>29283198.801208884</v>
      </c>
      <c r="T133" s="3"/>
      <c r="U133" s="3">
        <v>29283198.801208884</v>
      </c>
    </row>
    <row r="134" spans="18:21" x14ac:dyDescent="0.25">
      <c r="R134" s="2" t="s">
        <v>120</v>
      </c>
      <c r="S134" s="8"/>
      <c r="T134" s="8"/>
      <c r="U134" s="8"/>
    </row>
    <row r="135" spans="18:21" x14ac:dyDescent="0.25">
      <c r="R135" s="10" t="s">
        <v>222</v>
      </c>
      <c r="S135" s="3"/>
      <c r="T135" s="3"/>
      <c r="U135" s="3"/>
    </row>
    <row r="136" spans="18:21" x14ac:dyDescent="0.25">
      <c r="R136" s="10" t="s">
        <v>221</v>
      </c>
      <c r="S136" s="3">
        <v>0</v>
      </c>
      <c r="T136" s="3"/>
      <c r="U136" s="3">
        <v>0</v>
      </c>
    </row>
    <row r="137" spans="18:21" x14ac:dyDescent="0.25">
      <c r="R137" s="10" t="s">
        <v>223</v>
      </c>
      <c r="S137" s="3">
        <v>108551.66676199999</v>
      </c>
      <c r="T137" s="3"/>
      <c r="U137" s="3">
        <v>108551.66676199999</v>
      </c>
    </row>
    <row r="138" spans="18:21" x14ac:dyDescent="0.25">
      <c r="R138" s="2" t="s">
        <v>123</v>
      </c>
      <c r="S138" s="8"/>
      <c r="T138" s="8"/>
      <c r="U138" s="8"/>
    </row>
    <row r="139" spans="18:21" x14ac:dyDescent="0.25">
      <c r="R139" s="10" t="s">
        <v>222</v>
      </c>
      <c r="S139" s="3"/>
      <c r="T139" s="3"/>
      <c r="U139" s="3"/>
    </row>
    <row r="140" spans="18:21" x14ac:dyDescent="0.25">
      <c r="R140" s="10" t="s">
        <v>221</v>
      </c>
      <c r="S140" s="3">
        <v>0</v>
      </c>
      <c r="T140" s="3">
        <v>0</v>
      </c>
      <c r="U140" s="3">
        <v>0</v>
      </c>
    </row>
    <row r="141" spans="18:21" x14ac:dyDescent="0.25">
      <c r="R141" s="10" t="s">
        <v>223</v>
      </c>
      <c r="S141" s="3">
        <v>416886.73505999998</v>
      </c>
      <c r="T141" s="3">
        <v>194341.72057884</v>
      </c>
      <c r="U141" s="3">
        <v>611228.45563883998</v>
      </c>
    </row>
    <row r="142" spans="18:21" x14ac:dyDescent="0.25">
      <c r="R142" s="2" t="s">
        <v>126</v>
      </c>
      <c r="S142" s="8"/>
      <c r="T142" s="8"/>
      <c r="U142" s="8"/>
    </row>
    <row r="143" spans="18:21" x14ac:dyDescent="0.25">
      <c r="R143" s="10" t="s">
        <v>222</v>
      </c>
      <c r="S143" s="3"/>
      <c r="T143" s="3"/>
      <c r="U143" s="3"/>
    </row>
    <row r="144" spans="18:21" x14ac:dyDescent="0.25">
      <c r="R144" s="10" t="s">
        <v>221</v>
      </c>
      <c r="S144" s="3">
        <v>0</v>
      </c>
      <c r="T144" s="3"/>
      <c r="U144" s="3">
        <v>0</v>
      </c>
    </row>
    <row r="145" spans="18:21" x14ac:dyDescent="0.25">
      <c r="R145" s="10" t="s">
        <v>223</v>
      </c>
      <c r="S145" s="3">
        <v>46723.537455999998</v>
      </c>
      <c r="T145" s="3"/>
      <c r="U145" s="3">
        <v>46723.537455999998</v>
      </c>
    </row>
    <row r="146" spans="18:21" x14ac:dyDescent="0.25">
      <c r="R146" s="2" t="s">
        <v>129</v>
      </c>
      <c r="S146" s="8"/>
      <c r="T146" s="8"/>
      <c r="U146" s="8"/>
    </row>
    <row r="147" spans="18:21" x14ac:dyDescent="0.25">
      <c r="R147" s="10" t="s">
        <v>222</v>
      </c>
      <c r="S147" s="3"/>
      <c r="T147" s="3"/>
      <c r="U147" s="3"/>
    </row>
    <row r="148" spans="18:21" x14ac:dyDescent="0.25">
      <c r="R148" s="10" t="s">
        <v>221</v>
      </c>
      <c r="S148" s="3">
        <v>0</v>
      </c>
      <c r="T148" s="3"/>
      <c r="U148" s="3">
        <v>0</v>
      </c>
    </row>
    <row r="149" spans="18:21" x14ac:dyDescent="0.25">
      <c r="R149" s="10" t="s">
        <v>223</v>
      </c>
      <c r="S149" s="3">
        <v>345423.16507887124</v>
      </c>
      <c r="T149" s="3"/>
      <c r="U149" s="3">
        <v>345423.16507887124</v>
      </c>
    </row>
    <row r="150" spans="18:21" x14ac:dyDescent="0.25">
      <c r="R150" s="2" t="s">
        <v>132</v>
      </c>
      <c r="S150" s="8"/>
      <c r="T150" s="8"/>
      <c r="U150" s="8"/>
    </row>
    <row r="151" spans="18:21" x14ac:dyDescent="0.25">
      <c r="R151" s="10" t="s">
        <v>222</v>
      </c>
      <c r="S151" s="3"/>
      <c r="T151" s="3"/>
      <c r="U151" s="3"/>
    </row>
    <row r="152" spans="18:21" x14ac:dyDescent="0.25">
      <c r="R152" s="10" t="s">
        <v>221</v>
      </c>
      <c r="S152" s="3">
        <v>0</v>
      </c>
      <c r="T152" s="3">
        <v>0</v>
      </c>
      <c r="U152" s="3">
        <v>0</v>
      </c>
    </row>
    <row r="153" spans="18:21" x14ac:dyDescent="0.25">
      <c r="R153" s="10" t="s">
        <v>223</v>
      </c>
      <c r="S153" s="3">
        <v>286973.14753094001</v>
      </c>
      <c r="T153" s="3">
        <v>133538.68957305999</v>
      </c>
      <c r="U153" s="3">
        <v>420511.83710400003</v>
      </c>
    </row>
    <row r="154" spans="18:21" x14ac:dyDescent="0.25">
      <c r="R154" s="2" t="s">
        <v>135</v>
      </c>
      <c r="S154" s="8"/>
      <c r="T154" s="8"/>
      <c r="U154" s="8"/>
    </row>
    <row r="155" spans="18:21" x14ac:dyDescent="0.25">
      <c r="R155" s="10" t="s">
        <v>222</v>
      </c>
      <c r="S155" s="3"/>
      <c r="T155" s="3"/>
      <c r="U155" s="3"/>
    </row>
    <row r="156" spans="18:21" x14ac:dyDescent="0.25">
      <c r="R156" s="10" t="s">
        <v>221</v>
      </c>
      <c r="S156" s="3">
        <v>0</v>
      </c>
      <c r="T156" s="3">
        <v>0</v>
      </c>
      <c r="U156" s="3">
        <v>0</v>
      </c>
    </row>
    <row r="157" spans="18:21" x14ac:dyDescent="0.25">
      <c r="R157" s="10" t="s">
        <v>223</v>
      </c>
      <c r="S157" s="3">
        <v>347405.61255000002</v>
      </c>
      <c r="T157" s="3">
        <v>156080.78245</v>
      </c>
      <c r="U157" s="3">
        <v>503486.39500000002</v>
      </c>
    </row>
    <row r="158" spans="18:21" x14ac:dyDescent="0.25">
      <c r="R158" s="2" t="s">
        <v>138</v>
      </c>
      <c r="S158" s="8"/>
      <c r="T158" s="8"/>
      <c r="U158" s="8"/>
    </row>
    <row r="159" spans="18:21" x14ac:dyDescent="0.25">
      <c r="R159" s="10" t="s">
        <v>222</v>
      </c>
      <c r="S159" s="3"/>
      <c r="T159" s="3"/>
      <c r="U159" s="3"/>
    </row>
    <row r="160" spans="18:21" x14ac:dyDescent="0.25">
      <c r="R160" s="10" t="s">
        <v>221</v>
      </c>
      <c r="S160" s="3">
        <v>0</v>
      </c>
      <c r="T160" s="3">
        <v>0</v>
      </c>
      <c r="U160" s="3">
        <v>0</v>
      </c>
    </row>
    <row r="161" spans="18:21" x14ac:dyDescent="0.25">
      <c r="R161" s="10" t="s">
        <v>223</v>
      </c>
      <c r="S161" s="8">
        <v>311154.59211000003</v>
      </c>
      <c r="T161" s="8">
        <v>141983.16339</v>
      </c>
      <c r="U161" s="8">
        <v>453137.75550000003</v>
      </c>
    </row>
    <row r="162" spans="18:21" x14ac:dyDescent="0.25">
      <c r="R162" s="2" t="s">
        <v>314</v>
      </c>
      <c r="S162" s="8"/>
      <c r="T162" s="8"/>
      <c r="U162" s="8"/>
    </row>
    <row r="163" spans="18:21" x14ac:dyDescent="0.25">
      <c r="R163" s="10" t="s">
        <v>222</v>
      </c>
      <c r="S163" s="8"/>
      <c r="T163" s="8"/>
      <c r="U163" s="8"/>
    </row>
    <row r="164" spans="18:21" x14ac:dyDescent="0.25">
      <c r="R164" s="10" t="s">
        <v>221</v>
      </c>
      <c r="S164" s="8">
        <v>0</v>
      </c>
      <c r="T164" s="8"/>
      <c r="U164" s="8">
        <v>0</v>
      </c>
    </row>
    <row r="165" spans="18:21" x14ac:dyDescent="0.25">
      <c r="R165" s="10" t="s">
        <v>223</v>
      </c>
      <c r="S165" s="8">
        <v>2253966.1037652148</v>
      </c>
      <c r="T165" s="8"/>
      <c r="U165" s="8">
        <v>2253966.1037652148</v>
      </c>
    </row>
    <row r="166" spans="18:21" x14ac:dyDescent="0.25">
      <c r="R166" s="2" t="s">
        <v>315</v>
      </c>
      <c r="S166" s="8"/>
      <c r="T166" s="8"/>
      <c r="U166" s="8"/>
    </row>
    <row r="167" spans="18:21" x14ac:dyDescent="0.25">
      <c r="R167" s="10" t="s">
        <v>222</v>
      </c>
      <c r="S167" s="8"/>
      <c r="T167" s="8"/>
      <c r="U167" s="8"/>
    </row>
    <row r="168" spans="18:21" x14ac:dyDescent="0.25">
      <c r="R168" s="10" t="s">
        <v>221</v>
      </c>
      <c r="S168" s="8">
        <v>0</v>
      </c>
      <c r="T168" s="8"/>
      <c r="U168" s="8">
        <v>0</v>
      </c>
    </row>
    <row r="169" spans="18:21" x14ac:dyDescent="0.25">
      <c r="R169" s="10" t="s">
        <v>223</v>
      </c>
      <c r="S169" s="8">
        <v>326259.18395999999</v>
      </c>
      <c r="T169" s="8"/>
      <c r="U169" s="8">
        <v>326259.18395999999</v>
      </c>
    </row>
    <row r="170" spans="18:21" x14ac:dyDescent="0.25">
      <c r="R170" s="2" t="s">
        <v>316</v>
      </c>
      <c r="S170" s="8"/>
      <c r="T170" s="8"/>
      <c r="U170" s="8"/>
    </row>
    <row r="171" spans="18:21" x14ac:dyDescent="0.25">
      <c r="R171" s="10" t="s">
        <v>222</v>
      </c>
      <c r="S171" s="8"/>
      <c r="T171" s="8"/>
      <c r="U171" s="8"/>
    </row>
    <row r="172" spans="18:21" x14ac:dyDescent="0.25">
      <c r="R172" s="10" t="s">
        <v>221</v>
      </c>
      <c r="S172" s="8">
        <v>0</v>
      </c>
      <c r="T172" s="8"/>
      <c r="U172" s="8">
        <v>0</v>
      </c>
    </row>
    <row r="173" spans="18:21" x14ac:dyDescent="0.25">
      <c r="R173" s="10" t="s">
        <v>223</v>
      </c>
      <c r="S173" s="8">
        <v>604183.674</v>
      </c>
      <c r="T173" s="8"/>
      <c r="U173" s="8">
        <v>604183.674</v>
      </c>
    </row>
    <row r="174" spans="18:21" x14ac:dyDescent="0.25">
      <c r="R174" s="2" t="s">
        <v>224</v>
      </c>
      <c r="S174" s="54"/>
      <c r="T174" s="54"/>
      <c r="U174" s="54"/>
    </row>
    <row r="175" spans="18:21" x14ac:dyDescent="0.25">
      <c r="R175" s="2" t="s">
        <v>225</v>
      </c>
      <c r="S175" s="54">
        <v>0</v>
      </c>
      <c r="T175" s="54">
        <v>0</v>
      </c>
      <c r="U175" s="54">
        <v>0</v>
      </c>
    </row>
    <row r="176" spans="18:21" x14ac:dyDescent="0.25">
      <c r="R176" s="2" t="s">
        <v>227</v>
      </c>
      <c r="S176" s="54">
        <v>92022524.815070376</v>
      </c>
      <c r="T176" s="54">
        <v>12542236.79482279</v>
      </c>
      <c r="U176" s="54">
        <v>104564761.60989313</v>
      </c>
    </row>
  </sheetData>
  <autoFilter ref="F4:N89" xr:uid="{8FAB8283-5399-4DAC-97E7-45B28F5BB077}"/>
  <mergeCells count="14">
    <mergeCell ref="R2:U2"/>
    <mergeCell ref="B6:C6"/>
    <mergeCell ref="B9:C9"/>
    <mergeCell ref="B16:C16"/>
    <mergeCell ref="B18:C18"/>
    <mergeCell ref="B12:C12"/>
    <mergeCell ref="B15:C15"/>
    <mergeCell ref="B22:D22"/>
    <mergeCell ref="B7:C7"/>
    <mergeCell ref="B10:C10"/>
    <mergeCell ref="B13:C13"/>
    <mergeCell ref="F2:N2"/>
    <mergeCell ref="B19:C19"/>
    <mergeCell ref="B20:C20"/>
  </mergeCells>
  <phoneticPr fontId="5" type="noConversion"/>
  <pageMargins left="0.511811024" right="0.511811024" top="0.78740157499999996" bottom="0.78740157499999996" header="0.31496062000000002" footer="0.31496062000000002"/>
  <pageSetup paperSize="9" orientation="portrait" verticalDpi="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" id="{1E091DC3-33F5-4B6E-8D06-2B147C465644}">
            <x14:iconSet iconSet="3Triangles" custom="1">
              <x14:cfvo type="percent">
                <xm:f>0</xm:f>
              </x14:cfvo>
              <x14:cfvo type="num">
                <xm:f>0.7</xm:f>
              </x14:cfvo>
              <x14:cfvo type="num">
                <xm:f>0.85</xm:f>
              </x14:cfvo>
              <x14:cfIcon iconSet="3TrafficLights1" iconId="2"/>
              <x14:cfIcon iconSet="3TrafficLights1" iconId="1"/>
              <x14:cfIcon iconSet="3TrafficLights1" iconId="0"/>
            </x14:iconSet>
          </x14:cfRule>
          <xm:sqref>B20</xm:sqref>
        </x14:conditionalFormatting>
        <x14:conditionalFormatting xmlns:xm="http://schemas.microsoft.com/office/excel/2006/main">
          <x14:cfRule type="iconSet" priority="1" id="{8271FB5B-03DE-4A0F-BF59-27B14F0BE410}">
            <x14:iconSet iconSet="3Triangles" custom="1">
              <x14:cfvo type="percent">
                <xm:f>0</xm:f>
              </x14:cfvo>
              <x14:cfvo type="num">
                <xm:f>70</xm:f>
              </x14:cfvo>
              <x14:cfvo type="num">
                <xm:f>85</xm:f>
              </x14:cfvo>
              <x14:cfIcon iconSet="3TrafficLights1" iconId="2"/>
              <x14:cfIcon iconSet="3TrafficLights1" iconId="1"/>
              <x14:cfIcon iconSet="3TrafficLights1" iconId="0"/>
            </x14:iconSet>
          </x14:cfRule>
          <xm:sqref>D23:D25</xm:sqref>
        </x14:conditionalFormatting>
        <x14:conditionalFormatting xmlns:xm="http://schemas.microsoft.com/office/excel/2006/main">
          <x14:cfRule type="iconSet" priority="12" id="{AD3D3549-C3D2-40F4-928B-78CFBAB43B42}">
            <x14:iconSet iconSet="3Triangles" custom="1">
              <x14:cfvo type="percent">
                <xm:f>0</xm:f>
              </x14:cfvo>
              <x14:cfvo type="num">
                <xm:f>0.7</xm:f>
              </x14:cfvo>
              <x14:cfvo type="num">
                <xm:f>0.85</xm:f>
              </x14:cfvo>
              <x14:cfIcon iconSet="3TrafficLights1" iconId="2"/>
              <x14:cfIcon iconSet="3TrafficLights1" iconId="1"/>
              <x14:cfIcon iconSet="3TrafficLights1" iconId="0"/>
            </x14:iconSet>
          </x14:cfRule>
          <xm:sqref>N5:N89</xm:sqref>
        </x14:conditionalFormatting>
      </x14:conditionalFormattings>
    </ex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16BA92-F32C-40C5-BF26-D52DC37AB574}">
  <sheetPr codeName="Planilha2"/>
  <dimension ref="B1:AS977"/>
  <sheetViews>
    <sheetView topLeftCell="A2" workbookViewId="0">
      <pane ySplit="1" topLeftCell="A30" activePane="bottomLeft" state="frozen"/>
      <selection activeCell="A2" sqref="A2"/>
      <selection pane="bottomLeft" activeCell="G51" sqref="G51"/>
    </sheetView>
  </sheetViews>
  <sheetFormatPr defaultRowHeight="12.95" customHeight="1" x14ac:dyDescent="0.25"/>
  <cols>
    <col min="1" max="1" width="4.140625" customWidth="1"/>
    <col min="2" max="2" width="32.5703125" style="5" customWidth="1"/>
    <col min="3" max="3" width="16.5703125" style="7" customWidth="1"/>
    <col min="4" max="4" width="17" style="51" customWidth="1"/>
    <col min="5" max="5" width="10.85546875" style="5" customWidth="1"/>
    <col min="6" max="6" width="16.140625" style="6" customWidth="1"/>
    <col min="7" max="7" width="17.42578125" style="5" customWidth="1"/>
    <col min="8" max="8" width="17.85546875" style="6" customWidth="1"/>
    <col min="9" max="9" width="16.7109375" style="5" bestFit="1" customWidth="1"/>
    <col min="10" max="10" width="15.42578125" bestFit="1" customWidth="1"/>
    <col min="11" max="11" width="16.7109375" bestFit="1" customWidth="1"/>
    <col min="12" max="12" width="9.85546875" bestFit="1" customWidth="1"/>
    <col min="13" max="13" width="15.42578125" bestFit="1" customWidth="1"/>
    <col min="14" max="14" width="16.7109375" bestFit="1" customWidth="1"/>
    <col min="15" max="15" width="9.85546875" bestFit="1" customWidth="1"/>
    <col min="16" max="16" width="15.42578125" bestFit="1" customWidth="1"/>
    <col min="17" max="17" width="16.7109375" bestFit="1" customWidth="1"/>
    <col min="18" max="18" width="9.85546875" bestFit="1" customWidth="1"/>
    <col min="19" max="19" width="15.42578125" bestFit="1" customWidth="1"/>
    <col min="20" max="20" width="16.7109375" bestFit="1" customWidth="1"/>
    <col min="21" max="21" width="9.85546875" bestFit="1" customWidth="1"/>
    <col min="22" max="22" width="15.42578125" bestFit="1" customWidth="1"/>
    <col min="23" max="23" width="16.7109375" bestFit="1" customWidth="1"/>
    <col min="24" max="24" width="9.85546875" bestFit="1" customWidth="1"/>
    <col min="25" max="25" width="15.42578125" bestFit="1" customWidth="1"/>
    <col min="26" max="26" width="16.7109375" bestFit="1" customWidth="1"/>
    <col min="27" max="27" width="9.85546875" bestFit="1" customWidth="1"/>
    <col min="28" max="28" width="15.42578125" bestFit="1" customWidth="1"/>
    <col min="29" max="29" width="16.7109375" bestFit="1" customWidth="1"/>
    <col min="30" max="30" width="9.85546875" bestFit="1" customWidth="1"/>
    <col min="31" max="31" width="15.42578125" bestFit="1" customWidth="1"/>
    <col min="32" max="32" width="16.7109375" bestFit="1" customWidth="1"/>
    <col min="33" max="33" width="9.85546875" bestFit="1" customWidth="1"/>
    <col min="34" max="34" width="15.42578125" bestFit="1" customWidth="1"/>
    <col min="35" max="35" width="16.7109375" bestFit="1" customWidth="1"/>
    <col min="36" max="36" width="9.85546875" bestFit="1" customWidth="1"/>
    <col min="37" max="37" width="15.42578125" bestFit="1" customWidth="1"/>
    <col min="38" max="38" width="16.7109375" bestFit="1" customWidth="1"/>
    <col min="39" max="39" width="9.85546875" bestFit="1" customWidth="1"/>
    <col min="40" max="40" width="15.42578125" bestFit="1" customWidth="1"/>
    <col min="41" max="41" width="16.7109375" bestFit="1" customWidth="1"/>
    <col min="42" max="42" width="9.85546875" bestFit="1" customWidth="1"/>
    <col min="43" max="43" width="15.42578125" bestFit="1" customWidth="1"/>
    <col min="44" max="44" width="16.7109375" bestFit="1" customWidth="1"/>
    <col min="45" max="45" width="9.85546875" bestFit="1" customWidth="1"/>
  </cols>
  <sheetData>
    <row r="1" spans="2:45" ht="12.95" hidden="1" customHeight="1" x14ac:dyDescent="0.25"/>
    <row r="2" spans="2:45" ht="20.45" customHeight="1" x14ac:dyDescent="0.25">
      <c r="B2" s="46" t="s">
        <v>0</v>
      </c>
      <c r="C2" s="47" t="s">
        <v>1</v>
      </c>
      <c r="D2" s="46" t="s">
        <v>2</v>
      </c>
      <c r="E2" s="46" t="s">
        <v>4</v>
      </c>
      <c r="F2" s="48" t="s">
        <v>22</v>
      </c>
      <c r="G2" s="46" t="s">
        <v>290</v>
      </c>
      <c r="H2" s="48" t="s">
        <v>20</v>
      </c>
      <c r="I2" s="46" t="s">
        <v>218</v>
      </c>
      <c r="J2" s="46" t="s">
        <v>269</v>
      </c>
      <c r="K2" s="46" t="s">
        <v>219</v>
      </c>
      <c r="L2" s="112"/>
      <c r="M2" s="112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</row>
    <row r="3" spans="2:45" ht="12.95" customHeight="1" x14ac:dyDescent="0.25">
      <c r="B3" s="44" t="str">
        <f>VLOOKUP(C3,SintéticoNC!$F$4:$G$83,2,FALSE)</f>
        <v>Bancada de Alagoas</v>
      </c>
      <c r="C3" s="40" t="s">
        <v>141</v>
      </c>
      <c r="D3" s="17" t="s">
        <v>153</v>
      </c>
      <c r="E3" s="41" t="s">
        <v>5</v>
      </c>
      <c r="F3" s="49"/>
      <c r="G3" s="49">
        <f>SintéticoNC!J5*ÍndiceCorreçãoNC!$C$4</f>
        <v>12561.290827833</v>
      </c>
      <c r="H3" s="49">
        <f>IF(SintéticoNC!J5&gt;AnalíticoNC!F3,AnalíticoNC!F3,SintéticoNC!J5)</f>
        <v>0</v>
      </c>
      <c r="I3" s="49">
        <f>(SintéticoNC!J5+AnalíticoNC!G3)-H3</f>
        <v>1814033.9908278328</v>
      </c>
      <c r="J3" s="104"/>
      <c r="K3" s="105"/>
    </row>
    <row r="4" spans="2:45" ht="12.95" customHeight="1" x14ac:dyDescent="0.25">
      <c r="B4" s="45" t="str">
        <f>VLOOKUP(C4,SintéticoNC!$F$4:$G$83,2,FALSE)</f>
        <v>Bancada de Alagoas</v>
      </c>
      <c r="C4" s="42" t="s">
        <v>142</v>
      </c>
      <c r="D4" s="23" t="s">
        <v>153</v>
      </c>
      <c r="E4" s="43" t="s">
        <v>5</v>
      </c>
      <c r="F4" s="50"/>
      <c r="G4" s="50">
        <f>SintéticoNC!J6*ÍndiceCorreçãoNC!$C$4</f>
        <v>3656.5310759999998</v>
      </c>
      <c r="H4" s="50">
        <f>IF(SintéticoNC!J6&gt;AnalíticoNC!F4,AnalíticoNC!F4,SintéticoNC!J6)</f>
        <v>0</v>
      </c>
      <c r="I4" s="50">
        <f>(SintéticoNC!J6+AnalíticoNC!G4)-H4</f>
        <v>528056.53107599996</v>
      </c>
      <c r="J4" s="105"/>
      <c r="K4" s="105"/>
    </row>
    <row r="5" spans="2:45" ht="12.95" customHeight="1" x14ac:dyDescent="0.25">
      <c r="B5" s="45" t="str">
        <f>VLOOKUP(C5,SintéticoNC!$F$4:$G$83,2,FALSE)</f>
        <v>Bancada de Alagoas</v>
      </c>
      <c r="C5" s="42" t="s">
        <v>143</v>
      </c>
      <c r="D5" s="23" t="s">
        <v>153</v>
      </c>
      <c r="E5" s="43" t="s">
        <v>5</v>
      </c>
      <c r="F5" s="50"/>
      <c r="G5" s="50">
        <f>SintéticoNC!J7*ÍndiceCorreçãoNC!$C$4</f>
        <v>36438.48965548</v>
      </c>
      <c r="H5" s="50">
        <f>IF(SintéticoNC!J7&gt;AnalíticoNC!F5,AnalíticoNC!F5,SintéticoNC!J7)</f>
        <v>0</v>
      </c>
      <c r="I5" s="50">
        <f>(SintéticoNC!J7+AnalíticoNC!G5)-H5</f>
        <v>5262250.4896554798</v>
      </c>
      <c r="J5" s="105"/>
      <c r="K5" s="105"/>
    </row>
    <row r="6" spans="2:45" ht="12.95" customHeight="1" x14ac:dyDescent="0.25">
      <c r="B6" s="45" t="str">
        <f>VLOOKUP(C6,SintéticoNC!$F$4:$G$83,2,FALSE)</f>
        <v>Bancada de Minas Gerais</v>
      </c>
      <c r="C6" s="42" t="s">
        <v>144</v>
      </c>
      <c r="D6" s="23" t="s">
        <v>153</v>
      </c>
      <c r="E6" s="43" t="s">
        <v>5</v>
      </c>
      <c r="F6" s="50"/>
      <c r="G6" s="50">
        <f>SintéticoNC!J8*ÍndiceCorreçãoNC!$C$4</f>
        <v>92586.54922567599</v>
      </c>
      <c r="H6" s="50">
        <f>IF(SintéticoNC!J8&gt;AnalíticoNC!F6,AnalíticoNC!F6,SintéticoNC!J8)</f>
        <v>0</v>
      </c>
      <c r="I6" s="50">
        <f>(SintéticoNC!J8+AnalíticoNC!G6)-H6</f>
        <v>13370850.949225677</v>
      </c>
      <c r="J6" s="105"/>
      <c r="K6" s="105"/>
    </row>
    <row r="7" spans="2:45" ht="12.95" customHeight="1" x14ac:dyDescent="0.25">
      <c r="B7" s="45" t="str">
        <f>VLOOKUP(C7,SintéticoNC!$F$4:$G$83,2,FALSE)</f>
        <v>Bancada de São Paulo</v>
      </c>
      <c r="C7" s="42" t="s">
        <v>145</v>
      </c>
      <c r="D7" s="23" t="s">
        <v>153</v>
      </c>
      <c r="E7" s="43" t="s">
        <v>5</v>
      </c>
      <c r="F7" s="50"/>
      <c r="G7" s="50">
        <f>SintéticoNC!J9*ÍndiceCorreçãoNC!$C$4</f>
        <v>10771.301025979999</v>
      </c>
      <c r="H7" s="50">
        <f>IF(SintéticoNC!J9&gt;AnalíticoNC!F7,AnalíticoNC!F7,SintéticoNC!J9)</f>
        <v>0</v>
      </c>
      <c r="I7" s="50">
        <f>(SintéticoNC!J9+AnalíticoNC!G7)-H7</f>
        <v>1555533.3010259799</v>
      </c>
      <c r="J7" s="105"/>
      <c r="K7" s="105"/>
    </row>
    <row r="8" spans="2:45" ht="12.95" customHeight="1" x14ac:dyDescent="0.25">
      <c r="B8" s="45" t="str">
        <f>VLOOKUP(C8,SintéticoNC!$F$4:$G$83,2,FALSE)</f>
        <v>Bancada do Espírito Santo</v>
      </c>
      <c r="C8" s="42" t="s">
        <v>146</v>
      </c>
      <c r="D8" s="23" t="s">
        <v>153</v>
      </c>
      <c r="E8" s="43" t="s">
        <v>5</v>
      </c>
      <c r="F8" s="50"/>
      <c r="G8" s="50">
        <f>SintéticoNC!J10*ÍndiceCorreçãoNC!$C$4</f>
        <v>9838.7073770875995</v>
      </c>
      <c r="H8" s="50">
        <f>IF(SintéticoNC!J10&gt;AnalíticoNC!F8,AnalíticoNC!F8,SintéticoNC!J10)</f>
        <v>0</v>
      </c>
      <c r="I8" s="50">
        <f>(SintéticoNC!J10+AnalíticoNC!G8)-H8</f>
        <v>1420853.1473770875</v>
      </c>
      <c r="J8" s="105"/>
      <c r="K8" s="105"/>
    </row>
    <row r="9" spans="2:45" ht="12.95" customHeight="1" x14ac:dyDescent="0.25">
      <c r="B9" s="45" t="str">
        <f>VLOOKUP(C9,SintéticoNC!$F$4:$G$83,2,FALSE)</f>
        <v>Bancada do Espírito Santo</v>
      </c>
      <c r="C9" s="42" t="s">
        <v>147</v>
      </c>
      <c r="D9" s="23" t="s">
        <v>153</v>
      </c>
      <c r="E9" s="43" t="s">
        <v>5</v>
      </c>
      <c r="F9" s="50"/>
      <c r="G9" s="50">
        <f>SintéticoNC!J11*ÍndiceCorreçãoNC!$C$4</f>
        <v>15653.913549999999</v>
      </c>
      <c r="H9" s="50">
        <f>IF(SintéticoNC!J11&gt;AnalíticoNC!F9,AnalíticoNC!F9,SintéticoNC!J11)</f>
        <v>0</v>
      </c>
      <c r="I9" s="50">
        <f>(SintéticoNC!J11+AnalíticoNC!G9)-H9</f>
        <v>2260653.9135500002</v>
      </c>
      <c r="J9" s="105"/>
      <c r="K9" s="105"/>
    </row>
    <row r="10" spans="2:45" ht="12.95" customHeight="1" x14ac:dyDescent="0.25">
      <c r="B10" s="45" t="str">
        <f>VLOOKUP(C10,SintéticoNC!$F$4:$G$83,2,FALSE)</f>
        <v>Bancada do Espírito Santo</v>
      </c>
      <c r="C10" s="42" t="s">
        <v>148</v>
      </c>
      <c r="D10" s="23" t="s">
        <v>153</v>
      </c>
      <c r="E10" s="43" t="s">
        <v>5</v>
      </c>
      <c r="F10" s="50"/>
      <c r="G10" s="50">
        <f>SintéticoNC!J12*ÍndiceCorreçãoNC!$C$4</f>
        <v>19189.11808</v>
      </c>
      <c r="H10" s="50">
        <f>IF(SintéticoNC!J12&gt;AnalíticoNC!F10,AnalíticoNC!F10,SintéticoNC!J12)</f>
        <v>0</v>
      </c>
      <c r="I10" s="50">
        <f>(SintéticoNC!J12+AnalíticoNC!G10)-H10</f>
        <v>2771189.1180799999</v>
      </c>
      <c r="J10" s="105"/>
      <c r="K10" s="105"/>
    </row>
    <row r="11" spans="2:45" ht="12.95" customHeight="1" x14ac:dyDescent="0.25">
      <c r="B11" s="45" t="str">
        <f>VLOOKUP(C11,SintéticoNC!$F$4:$G$83,2,FALSE)</f>
        <v>Bancada do Maranhão</v>
      </c>
      <c r="C11" s="42" t="s">
        <v>149</v>
      </c>
      <c r="D11" s="23" t="s">
        <v>153</v>
      </c>
      <c r="E11" s="43" t="s">
        <v>5</v>
      </c>
      <c r="F11" s="50"/>
      <c r="G11" s="50">
        <f>SintéticoNC!J13*ÍndiceCorreçãoNC!$C$4</f>
        <v>5229.5924999999997</v>
      </c>
      <c r="H11" s="50">
        <f>IF(SintéticoNC!J13&gt;AnalíticoNC!F11,AnalíticoNC!F11,SintéticoNC!J13)</f>
        <v>0</v>
      </c>
      <c r="I11" s="50">
        <f>(SintéticoNC!J13+AnalíticoNC!G11)-H11</f>
        <v>755229.59250000003</v>
      </c>
      <c r="J11" s="105"/>
      <c r="K11" s="105"/>
    </row>
    <row r="12" spans="2:45" ht="12.95" customHeight="1" x14ac:dyDescent="0.25">
      <c r="B12" s="45" t="str">
        <f>VLOOKUP(C12,SintéticoNC!$F$4:$G$83,2,FALSE)</f>
        <v>Bancada do Pará</v>
      </c>
      <c r="C12" s="42" t="s">
        <v>152</v>
      </c>
      <c r="D12" s="23" t="s">
        <v>153</v>
      </c>
      <c r="E12" s="43" t="s">
        <v>5</v>
      </c>
      <c r="F12" s="50"/>
      <c r="G12" s="50">
        <f>SintéticoNC!J14*ÍndiceCorreçãoNC!$C$4</f>
        <v>3416.6670999999997</v>
      </c>
      <c r="H12" s="50">
        <f>IF(SintéticoNC!J14&gt;AnalíticoNC!F12,AnalíticoNC!F12,SintéticoNC!J14)</f>
        <v>0</v>
      </c>
      <c r="I12" s="50">
        <f>(SintéticoNC!J14+AnalíticoNC!G12)-H12</f>
        <v>493416.66710000002</v>
      </c>
      <c r="J12" s="105"/>
      <c r="K12" s="105"/>
    </row>
    <row r="13" spans="2:45" ht="12.95" customHeight="1" x14ac:dyDescent="0.25">
      <c r="B13" s="45" t="str">
        <f>VLOOKUP(C13,SintéticoNC!$F$4:$G$83,2,FALSE)</f>
        <v>Bancada do Pará</v>
      </c>
      <c r="C13" s="42" t="s">
        <v>151</v>
      </c>
      <c r="D13" s="23" t="s">
        <v>153</v>
      </c>
      <c r="E13" s="43" t="s">
        <v>5</v>
      </c>
      <c r="F13" s="50"/>
      <c r="G13" s="50">
        <f>SintéticoNC!J15*ÍndiceCorreçãoNC!$C$4</f>
        <v>5797.1776059999993</v>
      </c>
      <c r="H13" s="50">
        <f>IF(SintéticoNC!J15&gt;AnalíticoNC!F13,AnalíticoNC!F13,SintéticoNC!J15)</f>
        <v>0</v>
      </c>
      <c r="I13" s="50">
        <f>(SintéticoNC!J15+AnalíticoNC!G13)-H13</f>
        <v>837197.17760599998</v>
      </c>
      <c r="J13" s="105"/>
      <c r="K13" s="105"/>
    </row>
    <row r="14" spans="2:45" ht="12.95" customHeight="1" x14ac:dyDescent="0.25">
      <c r="B14" s="45" t="str">
        <f>VLOOKUP(C14,SintéticoNC!$F$4:$G$83,2,FALSE)</f>
        <v>Cabo Junio Amaral</v>
      </c>
      <c r="C14" s="42" t="s">
        <v>150</v>
      </c>
      <c r="D14" s="23" t="s">
        <v>153</v>
      </c>
      <c r="E14" s="43" t="s">
        <v>5</v>
      </c>
      <c r="F14" s="50"/>
      <c r="G14" s="50">
        <f>SintéticoNC!J16*ÍndiceCorreçãoNC!$C$4</f>
        <v>1443.36753</v>
      </c>
      <c r="H14" s="50">
        <f>IF(SintéticoNC!J16&gt;AnalíticoNC!F14,AnalíticoNC!F14,SintéticoNC!J16)</f>
        <v>0</v>
      </c>
      <c r="I14" s="50">
        <f>(SintéticoNC!J16+AnalíticoNC!G14)-H14</f>
        <v>208443.36752999999</v>
      </c>
      <c r="J14" s="105"/>
      <c r="K14" s="105"/>
    </row>
    <row r="15" spans="2:45" ht="12.95" customHeight="1" x14ac:dyDescent="0.25">
      <c r="B15" s="45" t="str">
        <f>VLOOKUP(C15,SintéticoNC!$F$4:$G$83,2,FALSE)</f>
        <v>Celso Sabino</v>
      </c>
      <c r="C15" s="42" t="s">
        <v>44</v>
      </c>
      <c r="D15" s="23" t="s">
        <v>153</v>
      </c>
      <c r="E15" s="43" t="s">
        <v>5</v>
      </c>
      <c r="F15" s="50"/>
      <c r="G15" s="50">
        <f>SintéticoNC!J17*ÍndiceCorreçãoNC!$C$4</f>
        <v>677.73922031090001</v>
      </c>
      <c r="H15" s="50">
        <f>IF(SintéticoNC!J17&gt;AnalíticoNC!F15,AnalíticoNC!F15,SintéticoNC!J17)</f>
        <v>0</v>
      </c>
      <c r="I15" s="50">
        <f>(SintéticoNC!J17+AnalíticoNC!G15)-H15</f>
        <v>97875.449220310911</v>
      </c>
      <c r="J15" s="105"/>
      <c r="K15" s="105"/>
    </row>
    <row r="16" spans="2:45" ht="12.95" customHeight="1" x14ac:dyDescent="0.25">
      <c r="B16" s="45" t="str">
        <f>VLOOKUP(C16,SintéticoNC!$F$4:$G$83,2,FALSE)</f>
        <v>Coronel Chrisóstomo</v>
      </c>
      <c r="C16" s="42" t="s">
        <v>47</v>
      </c>
      <c r="D16" s="23" t="s">
        <v>153</v>
      </c>
      <c r="E16" s="43" t="s">
        <v>5</v>
      </c>
      <c r="F16" s="50"/>
      <c r="G16" s="50">
        <f>SintéticoNC!J18*ÍndiceCorreçãoNC!$C$4</f>
        <v>965.73141499999997</v>
      </c>
      <c r="H16" s="50">
        <f>IF(SintéticoNC!J18&gt;AnalíticoNC!F16,AnalíticoNC!F16,SintéticoNC!J18)</f>
        <v>0</v>
      </c>
      <c r="I16" s="50">
        <f>(SintéticoNC!J18+AnalíticoNC!G16)-H16</f>
        <v>139465.73141499999</v>
      </c>
      <c r="J16" s="105"/>
      <c r="K16" s="105"/>
    </row>
    <row r="17" spans="2:11" ht="12.95" customHeight="1" x14ac:dyDescent="0.25">
      <c r="B17" s="45" t="str">
        <f>VLOOKUP(C17,SintéticoNC!$F$4:$G$83,2,FALSE)</f>
        <v>Dimas Fabiano</v>
      </c>
      <c r="C17" s="42" t="s">
        <v>50</v>
      </c>
      <c r="D17" s="23" t="s">
        <v>153</v>
      </c>
      <c r="E17" s="43" t="s">
        <v>5</v>
      </c>
      <c r="F17" s="50"/>
      <c r="G17" s="50">
        <f>SintéticoNC!J19*ÍndiceCorreçãoNC!$C$4</f>
        <v>1443.36753</v>
      </c>
      <c r="H17" s="50">
        <f>IF(SintéticoNC!J19&gt;AnalíticoNC!F17,AnalíticoNC!F17,SintéticoNC!J19)</f>
        <v>0</v>
      </c>
      <c r="I17" s="50">
        <f>(SintéticoNC!J19+AnalíticoNC!G17)-H17</f>
        <v>208443.36752999999</v>
      </c>
      <c r="J17" s="105"/>
      <c r="K17" s="105"/>
    </row>
    <row r="18" spans="2:11" ht="12.95" customHeight="1" x14ac:dyDescent="0.25">
      <c r="B18" s="45" t="str">
        <f>VLOOKUP(C18,SintéticoNC!$F$4:$G$83,2,FALSE)</f>
        <v>Edna Henrique</v>
      </c>
      <c r="C18" s="42" t="s">
        <v>53</v>
      </c>
      <c r="D18" s="23" t="s">
        <v>153</v>
      </c>
      <c r="E18" s="43" t="s">
        <v>5</v>
      </c>
      <c r="F18" s="50"/>
      <c r="G18" s="50">
        <f>SintéticoNC!J20*ÍndiceCorreçãoNC!$C$4</f>
        <v>1450.3403199999998</v>
      </c>
      <c r="H18" s="50">
        <f>IF(SintéticoNC!J20&gt;AnalíticoNC!F18,AnalíticoNC!F18,SintéticoNC!J20)</f>
        <v>0</v>
      </c>
      <c r="I18" s="50">
        <f>(SintéticoNC!J20+AnalíticoNC!G18)-H18</f>
        <v>209450.34031999999</v>
      </c>
      <c r="J18" s="105"/>
      <c r="K18" s="105"/>
    </row>
    <row r="19" spans="2:11" ht="12.95" customHeight="1" x14ac:dyDescent="0.25">
      <c r="B19" s="45" t="str">
        <f>VLOOKUP(C19,SintéticoNC!$F$4:$G$83,2,FALSE)</f>
        <v>Elias Vaz</v>
      </c>
      <c r="C19" s="42" t="s">
        <v>56</v>
      </c>
      <c r="D19" s="23" t="s">
        <v>153</v>
      </c>
      <c r="E19" s="43" t="s">
        <v>5</v>
      </c>
      <c r="F19" s="50"/>
      <c r="G19" s="50">
        <f>SintéticoNC!J21*ÍndiceCorreçãoNC!$C$4</f>
        <v>2789.116</v>
      </c>
      <c r="H19" s="50">
        <f>IF(SintéticoNC!J21&gt;AnalíticoNC!F19,AnalíticoNC!F19,SintéticoNC!J21)</f>
        <v>0</v>
      </c>
      <c r="I19" s="50">
        <f>(SintéticoNC!J21+AnalíticoNC!G19)-H19</f>
        <v>402789.11599999998</v>
      </c>
      <c r="J19" s="105"/>
      <c r="K19" s="105"/>
    </row>
    <row r="20" spans="2:11" ht="12.95" customHeight="1" x14ac:dyDescent="0.25">
      <c r="B20" s="45" t="str">
        <f>VLOOKUP(C20,SintéticoNC!$F$4:$G$83,2,FALSE)</f>
        <v>Expedito Netto</v>
      </c>
      <c r="C20" s="42" t="s">
        <v>59</v>
      </c>
      <c r="D20" s="23" t="s">
        <v>153</v>
      </c>
      <c r="E20" s="43" t="s">
        <v>5</v>
      </c>
      <c r="F20" s="50"/>
      <c r="G20" s="50">
        <f>SintéticoNC!J22*ÍndiceCorreçãoNC!$C$4</f>
        <v>1961.7194392795998</v>
      </c>
      <c r="H20" s="50">
        <f>IF(SintéticoNC!J22&gt;AnalíticoNC!F20,AnalíticoNC!F20,SintéticoNC!J22)</f>
        <v>0</v>
      </c>
      <c r="I20" s="50">
        <f>(SintéticoNC!J22+AnalíticoNC!G20)-H20</f>
        <v>283300.95943927957</v>
      </c>
      <c r="J20" s="105"/>
      <c r="K20" s="105"/>
    </row>
    <row r="21" spans="2:11" ht="12.95" customHeight="1" x14ac:dyDescent="0.25">
      <c r="B21" s="45" t="str">
        <f>VLOOKUP(C21,SintéticoNC!$F$4:$G$83,2,FALSE)</f>
        <v>Fabio Reis</v>
      </c>
      <c r="C21" s="42" t="s">
        <v>62</v>
      </c>
      <c r="D21" s="23" t="s">
        <v>153</v>
      </c>
      <c r="E21" s="43" t="s">
        <v>5</v>
      </c>
      <c r="F21" s="50"/>
      <c r="G21" s="50">
        <f>SintéticoNC!J23*ÍndiceCorreçãoNC!$C$4</f>
        <v>568.89578133629993</v>
      </c>
      <c r="H21" s="50">
        <f>IF(SintéticoNC!J23&gt;AnalíticoNC!F21,AnalíticoNC!F21,SintéticoNC!J23)</f>
        <v>0</v>
      </c>
      <c r="I21" s="50">
        <f>(SintéticoNC!J23+AnalíticoNC!G21)-H21</f>
        <v>82156.865781336295</v>
      </c>
      <c r="J21" s="105"/>
      <c r="K21" s="105"/>
    </row>
    <row r="22" spans="2:11" ht="12.95" customHeight="1" x14ac:dyDescent="0.25">
      <c r="B22" s="45" t="str">
        <f>VLOOKUP(C22,SintéticoNC!$F$4:$G$83,2,FALSE)</f>
        <v>Flavia Arruda</v>
      </c>
      <c r="C22" s="42" t="s">
        <v>65</v>
      </c>
      <c r="D22" s="23" t="s">
        <v>153</v>
      </c>
      <c r="E22" s="43" t="s">
        <v>5</v>
      </c>
      <c r="F22" s="50"/>
      <c r="G22" s="50">
        <f>SintéticoNC!J24*ÍndiceCorreçãoNC!$C$4</f>
        <v>6145.9404546550995</v>
      </c>
      <c r="H22" s="50">
        <f>IF(SintéticoNC!J24&gt;AnalíticoNC!F22,AnalíticoNC!F22,SintéticoNC!J24)</f>
        <v>0</v>
      </c>
      <c r="I22" s="50">
        <f>(SintéticoNC!J24+AnalíticoNC!G22)-H22</f>
        <v>887563.63045465504</v>
      </c>
      <c r="J22" s="105"/>
      <c r="K22" s="105"/>
    </row>
    <row r="23" spans="2:11" ht="12.95" customHeight="1" x14ac:dyDescent="0.25">
      <c r="B23" s="45" t="str">
        <f>VLOOKUP(C23,SintéticoNC!$F$4:$G$83,2,FALSE)</f>
        <v>Flaviano Melo</v>
      </c>
      <c r="C23" s="42" t="s">
        <v>68</v>
      </c>
      <c r="D23" s="23" t="s">
        <v>153</v>
      </c>
      <c r="E23" s="43" t="s">
        <v>5</v>
      </c>
      <c r="F23" s="50"/>
      <c r="G23" s="50">
        <f>SintéticoNC!J25*ÍndiceCorreçãoNC!$C$4</f>
        <v>3505.8910602957999</v>
      </c>
      <c r="H23" s="50">
        <f>IF(SintéticoNC!J25&gt;AnalíticoNC!F23,AnalíticoNC!F23,SintéticoNC!J25)</f>
        <v>0</v>
      </c>
      <c r="I23" s="50">
        <f>(SintéticoNC!J25+AnalíticoNC!G23)-H23</f>
        <v>506301.91106029582</v>
      </c>
      <c r="J23" s="105"/>
      <c r="K23" s="105"/>
    </row>
    <row r="24" spans="2:11" ht="12.95" customHeight="1" x14ac:dyDescent="0.25">
      <c r="B24" s="45" t="str">
        <f>VLOOKUP(C24,SintéticoNC!$F$4:$G$83,2,FALSE)</f>
        <v>General Girão</v>
      </c>
      <c r="C24" s="42" t="s">
        <v>71</v>
      </c>
      <c r="D24" s="23" t="s">
        <v>153</v>
      </c>
      <c r="E24" s="43" t="s">
        <v>5</v>
      </c>
      <c r="F24" s="50"/>
      <c r="G24" s="50">
        <f>SintéticoNC!J26*ÍndiceCorreçãoNC!$C$4</f>
        <v>1443.36753</v>
      </c>
      <c r="H24" s="50">
        <f>IF(SintéticoNC!J26&gt;AnalíticoNC!F24,AnalíticoNC!F24,SintéticoNC!J26)</f>
        <v>0</v>
      </c>
      <c r="I24" s="50">
        <f>(SintéticoNC!J26+AnalíticoNC!G24)-H24</f>
        <v>208443.36752999999</v>
      </c>
      <c r="J24" s="105"/>
      <c r="K24" s="105"/>
    </row>
    <row r="25" spans="2:11" ht="12.95" customHeight="1" x14ac:dyDescent="0.25">
      <c r="B25" s="45" t="str">
        <f>VLOOKUP(C25,SintéticoNC!$F$4:$G$83,2,FALSE)</f>
        <v>João Roma</v>
      </c>
      <c r="C25" s="42" t="s">
        <v>74</v>
      </c>
      <c r="D25" s="23" t="s">
        <v>153</v>
      </c>
      <c r="E25" s="43" t="s">
        <v>5</v>
      </c>
      <c r="F25" s="50"/>
      <c r="G25" s="50">
        <f>SintéticoNC!J27*ÍndiceCorreçãoNC!$C$4</f>
        <v>503.21098388989998</v>
      </c>
      <c r="H25" s="50">
        <f>IF(SintéticoNC!J27&gt;AnalíticoNC!F25,AnalíticoNC!F25,SintéticoNC!J27)</f>
        <v>0</v>
      </c>
      <c r="I25" s="50">
        <f>(SintéticoNC!J27+AnalíticoNC!G25)-H25</f>
        <v>72671.020983889903</v>
      </c>
      <c r="J25" s="105"/>
      <c r="K25" s="105"/>
    </row>
    <row r="26" spans="2:11" ht="12.95" customHeight="1" x14ac:dyDescent="0.25">
      <c r="B26" s="45" t="str">
        <f>VLOOKUP(C26,SintéticoNC!$F$4:$G$83,2,FALSE)</f>
        <v>Joenia Wapichana</v>
      </c>
      <c r="C26" s="42" t="s">
        <v>77</v>
      </c>
      <c r="D26" s="23" t="s">
        <v>153</v>
      </c>
      <c r="E26" s="43" t="s">
        <v>5</v>
      </c>
      <c r="F26" s="50"/>
      <c r="G26" s="50">
        <f>SintéticoNC!J28*ÍndiceCorreçãoNC!$C$4</f>
        <v>63.441371991799997</v>
      </c>
      <c r="H26" s="50">
        <f>IF(SintéticoNC!J28&gt;AnalíticoNC!F26,AnalíticoNC!F26,SintéticoNC!J28)</f>
        <v>0</v>
      </c>
      <c r="I26" s="50">
        <f>(SintéticoNC!J28+AnalíticoNC!G26)-H26</f>
        <v>9161.8613719917994</v>
      </c>
      <c r="J26" s="105"/>
      <c r="K26" s="105"/>
    </row>
    <row r="27" spans="2:11" ht="12.95" customHeight="1" x14ac:dyDescent="0.25">
      <c r="B27" s="45" t="str">
        <f>VLOOKUP(C27,SintéticoNC!$F$4:$G$83,2,FALSE)</f>
        <v>José Nunes</v>
      </c>
      <c r="C27" s="42" t="s">
        <v>80</v>
      </c>
      <c r="D27" s="23" t="s">
        <v>153</v>
      </c>
      <c r="E27" s="43" t="s">
        <v>5</v>
      </c>
      <c r="F27" s="50"/>
      <c r="G27" s="50">
        <f>SintéticoNC!J29*ÍndiceCorreçãoNC!$C$4</f>
        <v>1443.36753</v>
      </c>
      <c r="H27" s="50">
        <f>IF(SintéticoNC!J29&gt;AnalíticoNC!F27,AnalíticoNC!F27,SintéticoNC!J29)</f>
        <v>0</v>
      </c>
      <c r="I27" s="50">
        <f>(SintéticoNC!J29+AnalíticoNC!G27)-H27</f>
        <v>208443.36752999999</v>
      </c>
      <c r="J27" s="105"/>
      <c r="K27" s="105"/>
    </row>
    <row r="28" spans="2:11" ht="12.95" customHeight="1" x14ac:dyDescent="0.25">
      <c r="B28" s="45" t="str">
        <f>VLOOKUP(C28,SintéticoNC!$F$4:$G$83,2,FALSE)</f>
        <v>Josivaldo JP</v>
      </c>
      <c r="C28" s="42" t="s">
        <v>83</v>
      </c>
      <c r="D28" s="23" t="s">
        <v>153</v>
      </c>
      <c r="E28" s="43" t="s">
        <v>5</v>
      </c>
      <c r="F28" s="50"/>
      <c r="G28" s="50">
        <f>SintéticoNC!J30*ÍndiceCorreçãoNC!$C$4</f>
        <v>711.22457999999995</v>
      </c>
      <c r="H28" s="50">
        <f>IF(SintéticoNC!J30&gt;AnalíticoNC!F28,AnalíticoNC!F28,SintéticoNC!J30)</f>
        <v>0</v>
      </c>
      <c r="I28" s="50">
        <f>(SintéticoNC!J30+AnalíticoNC!G28)-H28</f>
        <v>102711.22457999999</v>
      </c>
      <c r="J28" s="105"/>
      <c r="K28" s="105"/>
    </row>
    <row r="29" spans="2:11" ht="12.95" customHeight="1" x14ac:dyDescent="0.25">
      <c r="B29" s="45" t="str">
        <f>VLOOKUP(C29,SintéticoNC!$F$4:$G$83,2,FALSE)</f>
        <v>Junior Lourenço</v>
      </c>
      <c r="C29" s="42" t="s">
        <v>86</v>
      </c>
      <c r="D29" s="23" t="s">
        <v>153</v>
      </c>
      <c r="E29" s="43" t="s">
        <v>5</v>
      </c>
      <c r="F29" s="50"/>
      <c r="G29" s="50">
        <f>SintéticoNC!J31*ÍndiceCorreçãoNC!$C$4</f>
        <v>2405.6125499999998</v>
      </c>
      <c r="H29" s="50">
        <f>IF(SintéticoNC!J31&gt;AnalíticoNC!F29,AnalíticoNC!F29,SintéticoNC!J31)</f>
        <v>0</v>
      </c>
      <c r="I29" s="50">
        <f>(SintéticoNC!J31+AnalíticoNC!G29)-H29</f>
        <v>347405.61255000002</v>
      </c>
      <c r="J29" s="105"/>
      <c r="K29" s="105"/>
    </row>
    <row r="30" spans="2:11" ht="12.95" customHeight="1" x14ac:dyDescent="0.25">
      <c r="B30" s="45" t="str">
        <f>VLOOKUP(C30,SintéticoNC!$F$4:$G$83,2,FALSE)</f>
        <v>Leo de Brito</v>
      </c>
      <c r="C30" s="42" t="s">
        <v>89</v>
      </c>
      <c r="D30" s="23" t="s">
        <v>153</v>
      </c>
      <c r="E30" s="43" t="s">
        <v>5</v>
      </c>
      <c r="F30" s="50"/>
      <c r="G30" s="50">
        <f>SintéticoNC!J32*ÍndiceCorreçãoNC!$C$4</f>
        <v>2998.2997</v>
      </c>
      <c r="H30" s="50">
        <f>IF(SintéticoNC!J32&gt;AnalíticoNC!F30,AnalíticoNC!F30,SintéticoNC!J32)</f>
        <v>0</v>
      </c>
      <c r="I30" s="50">
        <f>(SintéticoNC!J32+AnalíticoNC!G30)-H30</f>
        <v>432998.29969999997</v>
      </c>
      <c r="J30" s="105"/>
      <c r="K30" s="105"/>
    </row>
    <row r="31" spans="2:11" ht="12.95" customHeight="1" x14ac:dyDescent="0.25">
      <c r="B31" s="45" t="str">
        <f>VLOOKUP(C31,SintéticoNC!$F$4:$G$83,2,FALSE)</f>
        <v>Leur Lomanto</v>
      </c>
      <c r="C31" s="42" t="s">
        <v>92</v>
      </c>
      <c r="D31" s="23" t="s">
        <v>153</v>
      </c>
      <c r="E31" s="43" t="s">
        <v>5</v>
      </c>
      <c r="F31" s="50"/>
      <c r="G31" s="50">
        <f>SintéticoNC!J33*ÍndiceCorreçãoNC!$C$4</f>
        <v>460.91745641699998</v>
      </c>
      <c r="H31" s="50">
        <f>IF(SintéticoNC!J33&gt;AnalíticoNC!F31,AnalíticoNC!F31,SintéticoNC!J33)</f>
        <v>0</v>
      </c>
      <c r="I31" s="50">
        <f>(SintéticoNC!J33+AnalíticoNC!G31)-H31</f>
        <v>66563.217456416998</v>
      </c>
      <c r="J31" s="105"/>
      <c r="K31" s="105"/>
    </row>
    <row r="32" spans="2:11" ht="12.95" customHeight="1" x14ac:dyDescent="0.25">
      <c r="B32" s="45" t="str">
        <f>VLOOKUP(C32,SintéticoNC!$F$4:$G$83,2,FALSE)</f>
        <v>Luciano Bivar</v>
      </c>
      <c r="C32" s="42" t="s">
        <v>95</v>
      </c>
      <c r="D32" s="23" t="s">
        <v>153</v>
      </c>
      <c r="E32" s="43" t="s">
        <v>5</v>
      </c>
      <c r="F32" s="50"/>
      <c r="G32" s="50">
        <f>SintéticoNC!J34*ÍndiceCorreçãoNC!$C$4</f>
        <v>17.257934161599998</v>
      </c>
      <c r="H32" s="50">
        <f>IF(SintéticoNC!J34&gt;AnalíticoNC!F32,AnalíticoNC!F32,SintéticoNC!J34)</f>
        <v>0</v>
      </c>
      <c r="I32" s="50">
        <f>(SintéticoNC!J34+AnalíticoNC!G32)-H32</f>
        <v>2492.2979341616001</v>
      </c>
      <c r="J32" s="105"/>
      <c r="K32" s="105"/>
    </row>
    <row r="33" spans="2:11" ht="12.95" customHeight="1" x14ac:dyDescent="0.25">
      <c r="B33" s="45" t="str">
        <f>VLOOKUP(C33,SintéticoNC!$F$4:$G$83,2,FALSE)</f>
        <v>Luis Tibé</v>
      </c>
      <c r="C33" s="42" t="s">
        <v>98</v>
      </c>
      <c r="D33" s="23" t="s">
        <v>153</v>
      </c>
      <c r="E33" s="43" t="s">
        <v>5</v>
      </c>
      <c r="F33" s="50"/>
      <c r="G33" s="50">
        <f>SintéticoNC!J35*ÍndiceCorreçãoNC!$C$4</f>
        <v>1443.36753</v>
      </c>
      <c r="H33" s="50">
        <f>IF(SintéticoNC!J35&gt;AnalíticoNC!F33,AnalíticoNC!F33,SintéticoNC!J35)</f>
        <v>0</v>
      </c>
      <c r="I33" s="50">
        <f>(SintéticoNC!J35+AnalíticoNC!G33)-H33</f>
        <v>208443.36752999999</v>
      </c>
      <c r="J33" s="105"/>
      <c r="K33" s="105"/>
    </row>
    <row r="34" spans="2:11" ht="12.95" customHeight="1" x14ac:dyDescent="0.25">
      <c r="B34" s="45" t="str">
        <f>VLOOKUP(C34,SintéticoNC!$F$4:$G$83,2,FALSE)</f>
        <v>Mara Rocha</v>
      </c>
      <c r="C34" s="42" t="s">
        <v>101</v>
      </c>
      <c r="D34" s="23" t="s">
        <v>153</v>
      </c>
      <c r="E34" s="43" t="s">
        <v>5</v>
      </c>
      <c r="F34" s="50"/>
      <c r="G34" s="50">
        <f>SintéticoNC!J36*ÍndiceCorreçãoNC!$C$4</f>
        <v>2847.5138135289994</v>
      </c>
      <c r="H34" s="50">
        <f>IF(SintéticoNC!J36&gt;AnalíticoNC!F34,AnalíticoNC!F34,SintéticoNC!J36)</f>
        <v>0</v>
      </c>
      <c r="I34" s="50">
        <f>(SintéticoNC!J36+AnalíticoNC!G34)-H34</f>
        <v>411222.61381352897</v>
      </c>
      <c r="J34" s="105"/>
      <c r="K34" s="105"/>
    </row>
    <row r="35" spans="2:11" ht="12.95" customHeight="1" x14ac:dyDescent="0.25">
      <c r="B35" s="45" t="str">
        <f>VLOOKUP(C35,SintéticoNC!$F$4:$G$83,2,FALSE)</f>
        <v>Marx Beltrão</v>
      </c>
      <c r="C35" s="42" t="s">
        <v>104</v>
      </c>
      <c r="D35" s="23" t="s">
        <v>153</v>
      </c>
      <c r="E35" s="43" t="s">
        <v>5</v>
      </c>
      <c r="F35" s="50"/>
      <c r="G35" s="50">
        <f>SintéticoNC!J37*ÍndiceCorreçãoNC!$C$4</f>
        <v>1443.36753</v>
      </c>
      <c r="H35" s="50">
        <f>IF(SintéticoNC!J37&gt;AnalíticoNC!F35,AnalíticoNC!F35,SintéticoNC!J37)</f>
        <v>0</v>
      </c>
      <c r="I35" s="50">
        <f>(SintéticoNC!J37+AnalíticoNC!G35)-H35</f>
        <v>208443.36752999999</v>
      </c>
      <c r="J35" s="105"/>
      <c r="K35" s="105"/>
    </row>
    <row r="36" spans="2:11" ht="12.95" customHeight="1" x14ac:dyDescent="0.25">
      <c r="B36" s="45" t="str">
        <f>VLOOKUP(C36,SintéticoNC!$F$4:$G$83,2,FALSE)</f>
        <v>Ministério das Comunicações</v>
      </c>
      <c r="C36" s="42" t="s">
        <v>107</v>
      </c>
      <c r="D36" s="23" t="s">
        <v>153</v>
      </c>
      <c r="E36" s="43" t="s">
        <v>5</v>
      </c>
      <c r="F36" s="50"/>
      <c r="G36" s="50">
        <f>SintéticoNC!J38*ÍndiceCorreçãoNC!$C$4</f>
        <v>107328.1616888811</v>
      </c>
      <c r="H36" s="50">
        <f>IF(SintéticoNC!J38&gt;AnalíticoNC!F36,AnalíticoNC!F36,SintéticoNC!J38)</f>
        <v>0</v>
      </c>
      <c r="I36" s="50">
        <f>(SintéticoNC!J38+AnalíticoNC!G36)-H36</f>
        <v>15499755.251688881</v>
      </c>
      <c r="J36" s="105"/>
      <c r="K36" s="105"/>
    </row>
    <row r="37" spans="2:11" ht="12.95" customHeight="1" x14ac:dyDescent="0.25">
      <c r="B37" s="45" t="str">
        <f>VLOOKUP(C37,SintéticoNC!$F$4:$G$83,2,FALSE)</f>
        <v>Ministério das Comunicações</v>
      </c>
      <c r="C37" s="42" t="s">
        <v>109</v>
      </c>
      <c r="D37" s="23" t="s">
        <v>153</v>
      </c>
      <c r="E37" s="43" t="s">
        <v>5</v>
      </c>
      <c r="F37" s="50"/>
      <c r="G37" s="50">
        <f>SintéticoNC!J39*ÍndiceCorreçãoNC!$C$4</f>
        <v>25715.649519999999</v>
      </c>
      <c r="H37" s="50">
        <f>IF(SintéticoNC!J39&gt;AnalíticoNC!F37,AnalíticoNC!F37,SintéticoNC!J39)</f>
        <v>0</v>
      </c>
      <c r="I37" s="50">
        <f>(SintéticoNC!J39+AnalíticoNC!G37)-H37</f>
        <v>3713715.64952</v>
      </c>
      <c r="J37" s="105"/>
      <c r="K37" s="105"/>
    </row>
    <row r="38" spans="2:11" ht="12.95" customHeight="1" x14ac:dyDescent="0.25">
      <c r="B38" s="45" t="str">
        <f>VLOOKUP(C38,SintéticoNC!$F$4:$G$83,2,FALSE)</f>
        <v>Ministério das Comunicações</v>
      </c>
      <c r="C38" s="42" t="s">
        <v>111</v>
      </c>
      <c r="D38" s="23" t="s">
        <v>153</v>
      </c>
      <c r="E38" s="43" t="s">
        <v>5</v>
      </c>
      <c r="F38" s="50"/>
      <c r="G38" s="50">
        <f>SintéticoNC!J40*ÍndiceCorreçãoNC!$C$4</f>
        <v>69727.899999999994</v>
      </c>
      <c r="H38" s="50">
        <f>IF(SintéticoNC!J40&gt;AnalíticoNC!F38,AnalíticoNC!F38,SintéticoNC!J40)</f>
        <v>0</v>
      </c>
      <c r="I38" s="50">
        <f>(SintéticoNC!J40+AnalíticoNC!G38)-H38</f>
        <v>10069727.9</v>
      </c>
      <c r="J38" s="105"/>
      <c r="K38" s="105"/>
    </row>
    <row r="39" spans="2:11" ht="12.95" customHeight="1" x14ac:dyDescent="0.25">
      <c r="B39" s="45" t="str">
        <f>VLOOKUP(C39,SintéticoNC!$F$4:$G$83,2,FALSE)</f>
        <v>Ministério da Educação</v>
      </c>
      <c r="C39" s="42" t="s">
        <v>114</v>
      </c>
      <c r="D39" s="23" t="s">
        <v>153</v>
      </c>
      <c r="E39" s="43" t="s">
        <v>5</v>
      </c>
      <c r="F39" s="50"/>
      <c r="G39" s="50">
        <f>SintéticoNC!J41*ÍndiceCorreçãoNC!$C$4</f>
        <v>117583.53838242</v>
      </c>
      <c r="H39" s="50">
        <f>IF(SintéticoNC!J41&gt;AnalíticoNC!F39,AnalíticoNC!F39,SintéticoNC!J41)</f>
        <v>0</v>
      </c>
      <c r="I39" s="50">
        <f>(SintéticoNC!J41+AnalíticoNC!G39)-H39</f>
        <v>16980781.538382418</v>
      </c>
      <c r="J39" s="105"/>
      <c r="K39" s="105"/>
    </row>
    <row r="40" spans="2:11" ht="12.95" customHeight="1" x14ac:dyDescent="0.25">
      <c r="B40" s="45" t="str">
        <f>VLOOKUP(C40,SintéticoNC!$F$4:$G$83,2,FALSE)</f>
        <v>Ministério da Educação</v>
      </c>
      <c r="C40" s="42" t="s">
        <v>116</v>
      </c>
      <c r="D40" s="23" t="s">
        <v>153</v>
      </c>
      <c r="E40" s="43" t="s">
        <v>5</v>
      </c>
      <c r="F40" s="50"/>
      <c r="G40" s="50">
        <f>SintéticoNC!J42*ÍndiceCorreçãoNC!$C$4</f>
        <v>25666.839989999997</v>
      </c>
      <c r="H40" s="50">
        <f>IF(SintéticoNC!J42&gt;AnalíticoNC!F40,AnalíticoNC!F40,SintéticoNC!J42)</f>
        <v>0</v>
      </c>
      <c r="I40" s="50">
        <f>(SintéticoNC!J42+AnalíticoNC!G40)-H40</f>
        <v>3706666.8399899998</v>
      </c>
      <c r="J40" s="105"/>
      <c r="K40" s="105"/>
    </row>
    <row r="41" spans="2:11" ht="12.95" customHeight="1" x14ac:dyDescent="0.25">
      <c r="B41" s="45" t="str">
        <f>VLOOKUP(C41,SintéticoNC!$F$4:$G$83,2,FALSE)</f>
        <v>Ministério da Justiça</v>
      </c>
      <c r="C41" s="42" t="s">
        <v>119</v>
      </c>
      <c r="D41" s="23" t="s">
        <v>153</v>
      </c>
      <c r="E41" s="43" t="s">
        <v>5</v>
      </c>
      <c r="F41" s="50"/>
      <c r="G41" s="50">
        <f>SintéticoNC!J43*ÍndiceCorreçãoNC!$C$4</f>
        <v>4364.4819310949997</v>
      </c>
      <c r="H41" s="50">
        <f>IF(SintéticoNC!J43&gt;AnalíticoNC!F41,AnalíticoNC!F41,SintéticoNC!J43)</f>
        <v>0</v>
      </c>
      <c r="I41" s="50">
        <f>(SintéticoNC!J43+AnalíticoNC!G41)-H41</f>
        <v>630294.98193109501</v>
      </c>
      <c r="J41" s="105"/>
      <c r="K41" s="105"/>
    </row>
    <row r="42" spans="2:11" ht="12.95" customHeight="1" x14ac:dyDescent="0.25">
      <c r="B42" s="45" t="str">
        <f>VLOOKUP(C42,SintéticoNC!$F$4:$G$83,2,FALSE)</f>
        <v>Ministério do Meio Ambiente</v>
      </c>
      <c r="C42" s="42" t="s">
        <v>122</v>
      </c>
      <c r="D42" s="23" t="s">
        <v>153</v>
      </c>
      <c r="E42" s="43" t="s">
        <v>5</v>
      </c>
      <c r="F42" s="50"/>
      <c r="G42" s="50">
        <f>SintéticoNC!J44*ÍndiceCorreçãoNC!$C$4</f>
        <v>751.66676199999995</v>
      </c>
      <c r="H42" s="50">
        <f>IF(SintéticoNC!J44&gt;AnalíticoNC!F42,AnalíticoNC!F42,SintéticoNC!J44)</f>
        <v>0</v>
      </c>
      <c r="I42" s="50">
        <f>(SintéticoNC!J44+AnalíticoNC!G42)-H42</f>
        <v>108551.66676199999</v>
      </c>
      <c r="J42" s="105"/>
      <c r="K42" s="105"/>
    </row>
    <row r="43" spans="2:11" ht="12.95" customHeight="1" x14ac:dyDescent="0.25">
      <c r="B43" s="45" t="str">
        <f>VLOOKUP(C43,SintéticoNC!$F$4:$G$83,2,FALSE)</f>
        <v>Perpétua Almeida</v>
      </c>
      <c r="C43" s="42" t="s">
        <v>125</v>
      </c>
      <c r="D43" s="23" t="s">
        <v>153</v>
      </c>
      <c r="E43" s="43" t="s">
        <v>5</v>
      </c>
      <c r="F43" s="50"/>
      <c r="G43" s="50">
        <f>SintéticoNC!J45*ÍndiceCorreçãoNC!$C$4</f>
        <v>2886.73506</v>
      </c>
      <c r="H43" s="50">
        <f>IF(SintéticoNC!J45&gt;AnalíticoNC!F43,AnalíticoNC!F43,SintéticoNC!J45)</f>
        <v>0</v>
      </c>
      <c r="I43" s="50">
        <f>(SintéticoNC!J45+AnalíticoNC!G43)-H43</f>
        <v>416886.73505999998</v>
      </c>
      <c r="J43" s="105"/>
      <c r="K43" s="105"/>
    </row>
    <row r="44" spans="2:11" ht="12.95" customHeight="1" x14ac:dyDescent="0.25">
      <c r="B44" s="45" t="str">
        <f>VLOOKUP(C44,SintéticoNC!$F$4:$G$83,2,FALSE)</f>
        <v>PRF RO</v>
      </c>
      <c r="C44" s="42" t="s">
        <v>128</v>
      </c>
      <c r="D44" s="23" t="s">
        <v>153</v>
      </c>
      <c r="E44" s="43" t="s">
        <v>5</v>
      </c>
      <c r="F44" s="50"/>
      <c r="G44" s="50">
        <f>SintéticoNC!J46*ÍndiceCorreçãoNC!$C$4</f>
        <v>323.53745599999996</v>
      </c>
      <c r="H44" s="50">
        <f>IF(SintéticoNC!J46&gt;AnalíticoNC!F44,AnalíticoNC!F44,SintéticoNC!J46)</f>
        <v>0</v>
      </c>
      <c r="I44" s="50">
        <f>(SintéticoNC!J46+AnalíticoNC!G44)-H44</f>
        <v>46723.537455999998</v>
      </c>
      <c r="J44" s="105"/>
      <c r="K44" s="105"/>
    </row>
    <row r="45" spans="2:11" ht="12.95" customHeight="1" x14ac:dyDescent="0.25">
      <c r="B45" s="45" t="str">
        <f>VLOOKUP(C45,SintéticoNC!$F$4:$G$83,2,FALSE)</f>
        <v>Senador Confúcio Moura</v>
      </c>
      <c r="C45" s="42" t="s">
        <v>131</v>
      </c>
      <c r="D45" s="23" t="s">
        <v>153</v>
      </c>
      <c r="E45" s="43" t="s">
        <v>5</v>
      </c>
      <c r="F45" s="50"/>
      <c r="G45" s="50">
        <f>SintéticoNC!J47*ÍndiceCorreçãoNC!$C$4</f>
        <v>2391.8850788712002</v>
      </c>
      <c r="H45" s="50">
        <f>IF(SintéticoNC!J47&gt;AnalíticoNC!F45,AnalíticoNC!F45,SintéticoNC!J47)</f>
        <v>0</v>
      </c>
      <c r="I45" s="50">
        <f>(SintéticoNC!J47+AnalíticoNC!G45)-H45</f>
        <v>345423.16507887124</v>
      </c>
      <c r="J45" s="105"/>
      <c r="K45" s="105"/>
    </row>
    <row r="46" spans="2:11" ht="12.95" customHeight="1" x14ac:dyDescent="0.25">
      <c r="B46" s="45" t="str">
        <f>VLOOKUP(C46,SintéticoNC!$F$4:$G$83,2,FALSE)</f>
        <v>Sérgio Petecão</v>
      </c>
      <c r="C46" s="42" t="s">
        <v>134</v>
      </c>
      <c r="D46" s="23" t="s">
        <v>153</v>
      </c>
      <c r="E46" s="43" t="s">
        <v>5</v>
      </c>
      <c r="F46" s="50"/>
      <c r="G46" s="50">
        <f>SintéticoNC!J48*ÍndiceCorreçãoNC!$C$4</f>
        <v>1987.1475309399998</v>
      </c>
      <c r="H46" s="50">
        <f>IF(SintéticoNC!J48&gt;AnalíticoNC!F46,AnalíticoNC!F46,SintéticoNC!J48)</f>
        <v>0</v>
      </c>
      <c r="I46" s="50">
        <f>(SintéticoNC!J48+AnalíticoNC!G46)-H46</f>
        <v>286973.14753094001</v>
      </c>
      <c r="J46" s="105"/>
      <c r="K46" s="105"/>
    </row>
    <row r="47" spans="2:11" ht="12.95" customHeight="1" x14ac:dyDescent="0.25">
      <c r="B47" s="45" t="str">
        <f>VLOOKUP(C47,SintéticoNC!$F$4:$G$83,2,FALSE)</f>
        <v>Soraya Thronicke</v>
      </c>
      <c r="C47" s="42" t="s">
        <v>137</v>
      </c>
      <c r="D47" s="23" t="s">
        <v>153</v>
      </c>
      <c r="E47" s="43" t="s">
        <v>5</v>
      </c>
      <c r="F47" s="50"/>
      <c r="G47" s="50">
        <f>SintéticoNC!J49*ÍndiceCorreçãoNC!$C$4</f>
        <v>2405.6125499999998</v>
      </c>
      <c r="H47" s="50">
        <f>IF(SintéticoNC!J49&gt;AnalíticoNC!F47,AnalíticoNC!F47,SintéticoNC!J49)</f>
        <v>0</v>
      </c>
      <c r="I47" s="50">
        <f>(SintéticoNC!J49+AnalíticoNC!G47)-H47</f>
        <v>347405.61255000002</v>
      </c>
      <c r="J47" s="105"/>
      <c r="K47" s="105"/>
    </row>
    <row r="48" spans="2:11" ht="12.95" customHeight="1" x14ac:dyDescent="0.25">
      <c r="B48" s="45" t="str">
        <f>VLOOKUP(C48,SintéticoNC!$F$4:$G$83,2,FALSE)</f>
        <v>Uldurico Junior</v>
      </c>
      <c r="C48" s="42" t="s">
        <v>140</v>
      </c>
      <c r="D48" s="23" t="s">
        <v>153</v>
      </c>
      <c r="E48" s="43" t="s">
        <v>5</v>
      </c>
      <c r="F48" s="50"/>
      <c r="G48" s="50">
        <f>SintéticoNC!J50*ÍndiceCorreçãoNC!$C$4</f>
        <v>2154.59211</v>
      </c>
      <c r="H48" s="50">
        <f>IF(SintéticoNC!J50&gt;AnalíticoNC!F48,AnalíticoNC!F48,SintéticoNC!J50)</f>
        <v>0</v>
      </c>
      <c r="I48" s="50">
        <f>(SintéticoNC!J50+AnalíticoNC!G48)-H48</f>
        <v>311154.59211000003</v>
      </c>
      <c r="J48" s="105"/>
      <c r="K48" s="105"/>
    </row>
    <row r="49" spans="2:11" s="53" customFormat="1" ht="12.95" customHeight="1" x14ac:dyDescent="0.25">
      <c r="B49" s="149" t="s">
        <v>314</v>
      </c>
      <c r="C49" s="148" t="s">
        <v>311</v>
      </c>
      <c r="D49" s="23" t="s">
        <v>153</v>
      </c>
      <c r="E49" s="43" t="s">
        <v>5</v>
      </c>
      <c r="F49" s="50"/>
      <c r="G49" s="50">
        <f>SintéticoNC!J51*ÍndiceCorreçãoNC!$C$4</f>
        <v>15607.603765214999</v>
      </c>
      <c r="H49" s="50">
        <f>IF(SintéticoNC!J51&gt;AnalíticoNC!F49,AnalíticoNC!F49,SintéticoNC!J51)</f>
        <v>0</v>
      </c>
      <c r="I49" s="50">
        <f>(SintéticoNC!J51+AnalíticoNC!G49)-H49</f>
        <v>2253966.1037652148</v>
      </c>
      <c r="J49" s="105"/>
      <c r="K49" s="105"/>
    </row>
    <row r="50" spans="2:11" s="53" customFormat="1" ht="12.95" customHeight="1" x14ac:dyDescent="0.25">
      <c r="B50" s="149" t="s">
        <v>315</v>
      </c>
      <c r="C50" s="148" t="s">
        <v>312</v>
      </c>
      <c r="D50" s="23" t="s">
        <v>153</v>
      </c>
      <c r="E50" s="43" t="s">
        <v>5</v>
      </c>
      <c r="F50" s="50"/>
      <c r="G50" s="50">
        <f>SintéticoNC!J52*ÍndiceCorreçãoNC!$C$4</f>
        <v>2259.1839599999998</v>
      </c>
      <c r="H50" s="50">
        <f>IF(SintéticoNC!J52&gt;AnalíticoNC!F50,AnalíticoNC!F50,SintéticoNC!J52)</f>
        <v>0</v>
      </c>
      <c r="I50" s="50">
        <f>(SintéticoNC!J52+AnalíticoNC!G50)-H50</f>
        <v>326259.18395999999</v>
      </c>
      <c r="J50" s="105"/>
      <c r="K50" s="105"/>
    </row>
    <row r="51" spans="2:11" s="53" customFormat="1" ht="12.95" customHeight="1" x14ac:dyDescent="0.25">
      <c r="B51" s="149" t="s">
        <v>316</v>
      </c>
      <c r="C51" s="148" t="s">
        <v>313</v>
      </c>
      <c r="D51" s="23" t="s">
        <v>153</v>
      </c>
      <c r="E51" s="43" t="s">
        <v>5</v>
      </c>
      <c r="F51" s="50"/>
      <c r="G51" s="50">
        <f>SintéticoNC!J53*ÍndiceCorreçãoNC!$C$4</f>
        <v>4183.674</v>
      </c>
      <c r="H51" s="50">
        <f>IF(SintéticoNC!J53&gt;AnalíticoNC!F51,AnalíticoNC!F51,SintéticoNC!J53)</f>
        <v>0</v>
      </c>
      <c r="I51" s="50">
        <f>(SintéticoNC!J53+AnalíticoNC!G51)-H51</f>
        <v>604183.674</v>
      </c>
      <c r="J51" s="105"/>
      <c r="K51" s="105"/>
    </row>
    <row r="52" spans="2:11" ht="12.95" customHeight="1" x14ac:dyDescent="0.25">
      <c r="B52" s="45" t="str">
        <f>VLOOKUP(C52,SintéticoNC!$F$4:$G$83,2,FALSE)</f>
        <v>Bancada de Alagoas</v>
      </c>
      <c r="C52" s="42" t="s">
        <v>156</v>
      </c>
      <c r="D52" s="23" t="s">
        <v>216</v>
      </c>
      <c r="E52" s="43" t="s">
        <v>5</v>
      </c>
      <c r="F52" s="50"/>
      <c r="G52" s="50">
        <f>SintéticoNC!J54*ÍndiceCorreçãoNC!$C$4</f>
        <v>4239.4563199999993</v>
      </c>
      <c r="H52" s="50">
        <f>IF(SintéticoNC!J54&gt;AnalíticoNC!F52,AnalíticoNC!F52,SintéticoNC!J54)</f>
        <v>0</v>
      </c>
      <c r="I52" s="50">
        <f>(SintéticoNC!J54+AnalíticoNC!G52)-H52</f>
        <v>612239.45632</v>
      </c>
      <c r="J52" s="105"/>
      <c r="K52" s="105"/>
    </row>
    <row r="53" spans="2:11" ht="12.95" customHeight="1" x14ac:dyDescent="0.25">
      <c r="B53" s="45" t="str">
        <f>VLOOKUP(C53,SintéticoNC!$F$4:$G$83,2,FALSE)</f>
        <v>Bancada de Alagoas</v>
      </c>
      <c r="C53" s="42" t="s">
        <v>158</v>
      </c>
      <c r="D53" s="23" t="s">
        <v>216</v>
      </c>
      <c r="E53" s="43" t="s">
        <v>5</v>
      </c>
      <c r="F53" s="50"/>
      <c r="G53" s="50">
        <f>SintéticoNC!J55*ÍndiceCorreçãoNC!$C$4</f>
        <v>1220.2382499999999</v>
      </c>
      <c r="H53" s="50">
        <f>IF(SintéticoNC!J55&gt;AnalíticoNC!F53,AnalíticoNC!F53,SintéticoNC!J55)</f>
        <v>0</v>
      </c>
      <c r="I53" s="50">
        <f>(SintéticoNC!J55+AnalíticoNC!G53)-H53</f>
        <v>176220.23824999999</v>
      </c>
      <c r="J53" s="105"/>
      <c r="K53" s="105"/>
    </row>
    <row r="54" spans="2:11" ht="12.95" customHeight="1" x14ac:dyDescent="0.25">
      <c r="B54" s="45" t="str">
        <f>VLOOKUP(C54,SintéticoNC!$F$4:$G$83,2,FALSE)</f>
        <v>Bancada de Alagoas</v>
      </c>
      <c r="C54" s="42" t="s">
        <v>160</v>
      </c>
      <c r="D54" s="23" t="s">
        <v>216</v>
      </c>
      <c r="E54" s="43" t="s">
        <v>5</v>
      </c>
      <c r="F54" s="50"/>
      <c r="G54" s="50">
        <f>SintéticoNC!J56*ÍndiceCorreçãoNC!$C$4</f>
        <v>5229.5924999999997</v>
      </c>
      <c r="H54" s="50">
        <f>IF(SintéticoNC!J56&gt;AnalíticoNC!F54,AnalíticoNC!F54,SintéticoNC!J56)</f>
        <v>0</v>
      </c>
      <c r="I54" s="50">
        <f>(SintéticoNC!J56+AnalíticoNC!G54)-H54</f>
        <v>755229.59250000003</v>
      </c>
      <c r="J54" s="105"/>
      <c r="K54" s="105"/>
    </row>
    <row r="55" spans="2:11" ht="12.95" customHeight="1" x14ac:dyDescent="0.25">
      <c r="B55" s="45" t="str">
        <f>VLOOKUP(C55,SintéticoNC!$F$4:$G$83,2,FALSE)</f>
        <v>Bancada de Minas Gerais</v>
      </c>
      <c r="C55" s="42" t="s">
        <v>162</v>
      </c>
      <c r="D55" s="23" t="s">
        <v>216</v>
      </c>
      <c r="E55" s="43" t="s">
        <v>5</v>
      </c>
      <c r="F55" s="50"/>
      <c r="G55" s="50">
        <f>SintéticoNC!J57*ÍndiceCorreçãoNC!$C$4</f>
        <v>36258.507999999994</v>
      </c>
      <c r="H55" s="50">
        <f>IF(SintéticoNC!J57&gt;AnalíticoNC!F55,AnalíticoNC!F55,SintéticoNC!J57)</f>
        <v>0</v>
      </c>
      <c r="I55" s="50">
        <f>(SintéticoNC!J57+AnalíticoNC!G55)-H55</f>
        <v>5236258.5080000004</v>
      </c>
      <c r="J55" s="105"/>
      <c r="K55" s="105"/>
    </row>
    <row r="56" spans="2:11" ht="12.95" customHeight="1" x14ac:dyDescent="0.25">
      <c r="B56" s="45" t="str">
        <f>VLOOKUP(C56,SintéticoNC!$F$4:$G$83,2,FALSE)</f>
        <v>Bancada de São Paulo</v>
      </c>
      <c r="C56" s="42" t="s">
        <v>164</v>
      </c>
      <c r="D56" s="23" t="s">
        <v>216</v>
      </c>
      <c r="E56" s="43" t="s">
        <v>5</v>
      </c>
      <c r="F56" s="50"/>
      <c r="G56" s="50">
        <f>SintéticoNC!J58*ÍndiceCorreçãoNC!$C$4</f>
        <v>4848.0414311999994</v>
      </c>
      <c r="H56" s="50">
        <f>IF(SintéticoNC!J58&gt;AnalíticoNC!F56,AnalíticoNC!F56,SintéticoNC!J58)</f>
        <v>0</v>
      </c>
      <c r="I56" s="50">
        <f>(SintéticoNC!J58+AnalíticoNC!G56)-H56</f>
        <v>700128.04143119999</v>
      </c>
      <c r="J56" s="105"/>
      <c r="K56" s="105"/>
    </row>
    <row r="57" spans="2:11" ht="12.95" customHeight="1" x14ac:dyDescent="0.25">
      <c r="B57" s="45" t="str">
        <f>VLOOKUP(C57,SintéticoNC!$F$4:$G$83,2,FALSE)</f>
        <v>Bancada do Espírito Santo</v>
      </c>
      <c r="C57" s="42" t="s">
        <v>166</v>
      </c>
      <c r="D57" s="23" t="s">
        <v>216</v>
      </c>
      <c r="E57" s="43" t="s">
        <v>5</v>
      </c>
      <c r="F57" s="50"/>
      <c r="G57" s="50">
        <f>SintéticoNC!J59*ÍndiceCorreçãoNC!$C$4</f>
        <v>5459.6945699999997</v>
      </c>
      <c r="H57" s="50">
        <f>IF(SintéticoNC!J59&gt;AnalíticoNC!F57,AnalíticoNC!F57,SintéticoNC!J59)</f>
        <v>0</v>
      </c>
      <c r="I57" s="50">
        <f>(SintéticoNC!J59+AnalíticoNC!G57)-H57</f>
        <v>788459.69457000005</v>
      </c>
      <c r="J57" s="105"/>
      <c r="K57" s="105"/>
    </row>
    <row r="58" spans="2:11" ht="12.95" customHeight="1" x14ac:dyDescent="0.25">
      <c r="B58" s="45" t="str">
        <f>VLOOKUP(C58,SintéticoNC!$F$4:$G$83,2,FALSE)</f>
        <v>Bancada do Espírito Santo</v>
      </c>
      <c r="C58" s="42" t="s">
        <v>168</v>
      </c>
      <c r="D58" s="23" t="s">
        <v>216</v>
      </c>
      <c r="E58" s="43" t="s">
        <v>5</v>
      </c>
      <c r="F58" s="50"/>
      <c r="G58" s="50">
        <f>SintéticoNC!J60*ÍndiceCorreçãoNC!$C$4</f>
        <v>5858.2173399321</v>
      </c>
      <c r="H58" s="50">
        <f>IF(SintéticoNC!J60&gt;AnalíticoNC!F58,AnalíticoNC!F58,SintéticoNC!J60)</f>
        <v>0</v>
      </c>
      <c r="I58" s="50">
        <f>(SintéticoNC!J60+AnalíticoNC!G58)-H58</f>
        <v>846012.20733993209</v>
      </c>
      <c r="J58" s="105"/>
      <c r="K58" s="105"/>
    </row>
    <row r="59" spans="2:11" ht="12.95" customHeight="1" x14ac:dyDescent="0.25">
      <c r="B59" s="45" t="str">
        <f>VLOOKUP(C59,SintéticoNC!$F$4:$G$83,2,FALSE)</f>
        <v>Bancada do Pará</v>
      </c>
      <c r="C59" s="42" t="s">
        <v>170</v>
      </c>
      <c r="D59" s="23" t="s">
        <v>216</v>
      </c>
      <c r="E59" s="43" t="s">
        <v>5</v>
      </c>
      <c r="F59" s="50"/>
      <c r="G59" s="50">
        <f>SintéticoNC!J61*ÍndiceCorreçãoNC!$C$4</f>
        <v>1282.9933599999999</v>
      </c>
      <c r="H59" s="50">
        <f>IF(SintéticoNC!J61&gt;AnalíticoNC!F59,AnalíticoNC!F59,SintéticoNC!J61)</f>
        <v>0</v>
      </c>
      <c r="I59" s="50">
        <f>(SintéticoNC!J61+AnalíticoNC!G59)-H59</f>
        <v>185282.99335999999</v>
      </c>
      <c r="J59" s="105"/>
      <c r="K59" s="105"/>
    </row>
    <row r="60" spans="2:11" ht="12.95" customHeight="1" x14ac:dyDescent="0.25">
      <c r="B60" s="45" t="str">
        <f>VLOOKUP(C60,SintéticoNC!$F$4:$G$83,2,FALSE)</f>
        <v>Bancada do Pará</v>
      </c>
      <c r="C60" s="42" t="s">
        <v>172</v>
      </c>
      <c r="D60" s="23" t="s">
        <v>216</v>
      </c>
      <c r="E60" s="43" t="s">
        <v>5</v>
      </c>
      <c r="F60" s="50"/>
      <c r="G60" s="50">
        <f>SintéticoNC!J62*ÍndiceCorreçãoNC!$C$4</f>
        <v>2178.4390518</v>
      </c>
      <c r="H60" s="50">
        <f>IF(SintéticoNC!J62&gt;AnalíticoNC!F60,AnalíticoNC!F60,SintéticoNC!J62)</f>
        <v>0</v>
      </c>
      <c r="I60" s="50">
        <f>(SintéticoNC!J62+AnalíticoNC!G60)-H60</f>
        <v>314598.4390518</v>
      </c>
      <c r="J60" s="105"/>
      <c r="K60" s="105"/>
    </row>
    <row r="61" spans="2:11" ht="12.95" customHeight="1" x14ac:dyDescent="0.25">
      <c r="B61" s="45" t="str">
        <f>VLOOKUP(C61,SintéticoNC!$F$4:$G$83,2,FALSE)</f>
        <v>Coronel Chrisóstomo</v>
      </c>
      <c r="C61" s="42" t="s">
        <v>174</v>
      </c>
      <c r="D61" s="23" t="s">
        <v>216</v>
      </c>
      <c r="E61" s="43" t="s">
        <v>5</v>
      </c>
      <c r="F61" s="50"/>
      <c r="G61" s="50">
        <f>SintéticoNC!J63*ÍndiceCorreçãoNC!$C$4</f>
        <v>428.82658499999997</v>
      </c>
      <c r="H61" s="50">
        <f>IF(SintéticoNC!J63&gt;AnalíticoNC!F61,AnalíticoNC!F61,SintéticoNC!J63)</f>
        <v>0</v>
      </c>
      <c r="I61" s="50">
        <f>(SintéticoNC!J63+AnalíticoNC!G61)-H61</f>
        <v>61928.826585000003</v>
      </c>
      <c r="J61" s="105"/>
      <c r="K61" s="105"/>
    </row>
    <row r="62" spans="2:11" ht="12.95" customHeight="1" x14ac:dyDescent="0.25">
      <c r="B62" s="45" t="str">
        <f>VLOOKUP(C62,SintéticoNC!$F$4:$G$83,2,FALSE)</f>
        <v>Dimas Fabiano</v>
      </c>
      <c r="C62" s="42" t="s">
        <v>176</v>
      </c>
      <c r="D62" s="23" t="s">
        <v>216</v>
      </c>
      <c r="E62" s="43" t="s">
        <v>5</v>
      </c>
      <c r="F62" s="50"/>
      <c r="G62" s="50">
        <f>SintéticoNC!J64*ÍndiceCorreçãoNC!$C$4</f>
        <v>648.46947</v>
      </c>
      <c r="H62" s="50">
        <f>IF(SintéticoNC!J64&gt;AnalíticoNC!F62,AnalíticoNC!F62,SintéticoNC!J64)</f>
        <v>0</v>
      </c>
      <c r="I62" s="50">
        <f>(SintéticoNC!J64+AnalíticoNC!G62)-H62</f>
        <v>93648.469469999996</v>
      </c>
      <c r="J62" s="105"/>
      <c r="K62" s="105"/>
    </row>
    <row r="63" spans="2:11" ht="12.95" customHeight="1" x14ac:dyDescent="0.25">
      <c r="B63" s="45" t="str">
        <f>VLOOKUP(C63,SintéticoNC!$F$4:$G$83,2,FALSE)</f>
        <v>Edna Henrique</v>
      </c>
      <c r="C63" s="42" t="s">
        <v>178</v>
      </c>
      <c r="D63" s="23" t="s">
        <v>216</v>
      </c>
      <c r="E63" s="43" t="s">
        <v>5</v>
      </c>
      <c r="F63" s="50"/>
      <c r="G63" s="50">
        <f>SintéticoNC!J65*ÍndiceCorreçãoNC!$C$4</f>
        <v>641.49667999999997</v>
      </c>
      <c r="H63" s="50">
        <f>IF(SintéticoNC!J65&gt;AnalíticoNC!F63,AnalíticoNC!F63,SintéticoNC!J65)</f>
        <v>0</v>
      </c>
      <c r="I63" s="50">
        <f>(SintéticoNC!J65+AnalíticoNC!G63)-H63</f>
        <v>92641.496679999997</v>
      </c>
      <c r="J63" s="105"/>
      <c r="K63" s="105"/>
    </row>
    <row r="64" spans="2:11" ht="12.95" customHeight="1" x14ac:dyDescent="0.25">
      <c r="B64" s="45" t="str">
        <f>VLOOKUP(C64,SintéticoNC!$F$4:$G$83,2,FALSE)</f>
        <v>Fabio Reis</v>
      </c>
      <c r="C64" s="42" t="s">
        <v>180</v>
      </c>
      <c r="D64" s="23" t="s">
        <v>216</v>
      </c>
      <c r="E64" s="43" t="s">
        <v>5</v>
      </c>
      <c r="F64" s="50"/>
      <c r="G64" s="50">
        <f>SintéticoNC!J66*ÍndiceCorreçãoNC!$C$4</f>
        <v>292.02044519999998</v>
      </c>
      <c r="H64" s="50">
        <f>IF(SintéticoNC!J66&gt;AnalíticoNC!F64,AnalíticoNC!F64,SintéticoNC!J66)</f>
        <v>0</v>
      </c>
      <c r="I64" s="50">
        <f>(SintéticoNC!J66+AnalíticoNC!G64)-H64</f>
        <v>42172.020445200003</v>
      </c>
      <c r="J64" s="105"/>
      <c r="K64" s="105"/>
    </row>
    <row r="65" spans="2:11" ht="12.95" customHeight="1" x14ac:dyDescent="0.25">
      <c r="B65" s="45" t="str">
        <f>VLOOKUP(C65,SintéticoNC!$F$4:$G$83,2,FALSE)</f>
        <v>Flavia Arruda</v>
      </c>
      <c r="C65" s="42" t="s">
        <v>182</v>
      </c>
      <c r="D65" s="23" t="s">
        <v>216</v>
      </c>
      <c r="E65" s="43" t="s">
        <v>5</v>
      </c>
      <c r="F65" s="50"/>
      <c r="G65" s="50">
        <f>SintéticoNC!J67*ÍndiceCorreçãoNC!$C$4</f>
        <v>2569.77991776</v>
      </c>
      <c r="H65" s="50">
        <f>IF(SintéticoNC!J67&gt;AnalíticoNC!F65,AnalíticoNC!F65,SintéticoNC!J67)</f>
        <v>0</v>
      </c>
      <c r="I65" s="50">
        <f>(SintéticoNC!J67+AnalíticoNC!G65)-H65</f>
        <v>371113.77991776</v>
      </c>
      <c r="J65" s="105"/>
      <c r="K65" s="105"/>
    </row>
    <row r="66" spans="2:11" ht="12.95" customHeight="1" x14ac:dyDescent="0.25">
      <c r="B66" s="45" t="str">
        <f>VLOOKUP(C66,SintéticoNC!$F$4:$G$83,2,FALSE)</f>
        <v>General Girão</v>
      </c>
      <c r="C66" s="42" t="s">
        <v>184</v>
      </c>
      <c r="D66" s="23" t="s">
        <v>216</v>
      </c>
      <c r="E66" s="43" t="s">
        <v>5</v>
      </c>
      <c r="F66" s="50"/>
      <c r="G66" s="50">
        <f>SintéticoNC!J68*ÍndiceCorreçãoNC!$C$4</f>
        <v>648.46947</v>
      </c>
      <c r="H66" s="50">
        <f>IF(SintéticoNC!J68&gt;AnalíticoNC!F66,AnalíticoNC!F66,SintéticoNC!J68)</f>
        <v>0</v>
      </c>
      <c r="I66" s="50">
        <f>(SintéticoNC!J68+AnalíticoNC!G66)-H66</f>
        <v>93648.469469999996</v>
      </c>
      <c r="J66" s="105"/>
      <c r="K66" s="105"/>
    </row>
    <row r="67" spans="2:11" ht="12.95" customHeight="1" x14ac:dyDescent="0.25">
      <c r="B67" s="45" t="str">
        <f>VLOOKUP(C67,SintéticoNC!$F$4:$G$83,2,FALSE)</f>
        <v>José Nunes</v>
      </c>
      <c r="C67" s="42" t="s">
        <v>186</v>
      </c>
      <c r="D67" s="23" t="s">
        <v>216</v>
      </c>
      <c r="E67" s="43" t="s">
        <v>5</v>
      </c>
      <c r="F67" s="50"/>
      <c r="G67" s="50">
        <f>SintéticoNC!J69*ÍndiceCorreçãoNC!$C$4</f>
        <v>648.46947</v>
      </c>
      <c r="H67" s="50">
        <f>IF(SintéticoNC!J69&gt;AnalíticoNC!F67,AnalíticoNC!F67,SintéticoNC!J69)</f>
        <v>0</v>
      </c>
      <c r="I67" s="50">
        <f>(SintéticoNC!J69+AnalíticoNC!G67)-H67</f>
        <v>93648.469469999996</v>
      </c>
      <c r="J67" s="105"/>
      <c r="K67" s="105"/>
    </row>
    <row r="68" spans="2:11" ht="12.95" customHeight="1" x14ac:dyDescent="0.25">
      <c r="B68" s="45" t="str">
        <f>VLOOKUP(C68,SintéticoNC!$F$4:$G$83,2,FALSE)</f>
        <v>Josivaldo JP</v>
      </c>
      <c r="C68" s="42" t="s">
        <v>188</v>
      </c>
      <c r="D68" s="23" t="s">
        <v>216</v>
      </c>
      <c r="E68" s="43" t="s">
        <v>5</v>
      </c>
      <c r="F68" s="50"/>
      <c r="G68" s="50">
        <f>SintéticoNC!J70*ÍndiceCorreçãoNC!$C$4</f>
        <v>334.69391999999999</v>
      </c>
      <c r="H68" s="50">
        <f>IF(SintéticoNC!J70&gt;AnalíticoNC!F68,AnalíticoNC!F68,SintéticoNC!J70)</f>
        <v>0</v>
      </c>
      <c r="I68" s="50">
        <f>(SintéticoNC!J70+AnalíticoNC!G68)-H68</f>
        <v>48334.693919999998</v>
      </c>
      <c r="J68" s="105"/>
      <c r="K68" s="105"/>
    </row>
    <row r="69" spans="2:11" ht="12.95" customHeight="1" x14ac:dyDescent="0.25">
      <c r="B69" s="45" t="str">
        <f>VLOOKUP(C69,SintéticoNC!$F$4:$G$83,2,FALSE)</f>
        <v>Junior Lourenço</v>
      </c>
      <c r="C69" s="42" t="s">
        <v>190</v>
      </c>
      <c r="D69" s="23" t="s">
        <v>216</v>
      </c>
      <c r="E69" s="43" t="s">
        <v>5</v>
      </c>
      <c r="F69" s="50"/>
      <c r="G69" s="50">
        <f>SintéticoNC!J71*ÍndiceCorreçãoNC!$C$4</f>
        <v>1080.7824499999999</v>
      </c>
      <c r="H69" s="50">
        <f>IF(SintéticoNC!J71&gt;AnalíticoNC!F69,AnalíticoNC!F69,SintéticoNC!J71)</f>
        <v>0</v>
      </c>
      <c r="I69" s="50">
        <f>(SintéticoNC!J71+AnalíticoNC!G69)-H69</f>
        <v>156080.78245</v>
      </c>
      <c r="J69" s="105"/>
      <c r="K69" s="105"/>
    </row>
    <row r="70" spans="2:11" ht="12.95" customHeight="1" x14ac:dyDescent="0.25">
      <c r="B70" s="45" t="str">
        <f>VLOOKUP(C70,SintéticoNC!$F$4:$G$83,2,FALSE)</f>
        <v>Leo de Brito</v>
      </c>
      <c r="C70" s="42" t="s">
        <v>192</v>
      </c>
      <c r="D70" s="23" t="s">
        <v>216</v>
      </c>
      <c r="E70" s="43" t="s">
        <v>5</v>
      </c>
      <c r="F70" s="50"/>
      <c r="G70" s="50">
        <f>SintéticoNC!J72*ÍndiceCorreçãoNC!$C$4</f>
        <v>1185.3742999999999</v>
      </c>
      <c r="H70" s="50">
        <f>IF(SintéticoNC!J72&gt;AnalíticoNC!F70,AnalíticoNC!F70,SintéticoNC!J72)</f>
        <v>0</v>
      </c>
      <c r="I70" s="50">
        <f>(SintéticoNC!J72+AnalíticoNC!G70)-H70</f>
        <v>171185.3743</v>
      </c>
      <c r="J70" s="105"/>
      <c r="K70" s="105"/>
    </row>
    <row r="71" spans="2:11" ht="12.95" customHeight="1" x14ac:dyDescent="0.25">
      <c r="B71" s="45" t="str">
        <f>VLOOKUP(C71,SintéticoNC!$F$4:$G$83,2,FALSE)</f>
        <v>Luciano Bivar</v>
      </c>
      <c r="C71" s="42" t="s">
        <v>194</v>
      </c>
      <c r="D71" s="23" t="s">
        <v>216</v>
      </c>
      <c r="E71" s="43" t="s">
        <v>5</v>
      </c>
      <c r="F71" s="50"/>
      <c r="G71" s="50">
        <f>SintéticoNC!J73*ÍndiceCorreçãoNC!$C$4</f>
        <v>648.46947</v>
      </c>
      <c r="H71" s="50">
        <f>IF(SintéticoNC!J73&gt;AnalíticoNC!F71,AnalíticoNC!F71,SintéticoNC!J73)</f>
        <v>0</v>
      </c>
      <c r="I71" s="50">
        <f>(SintéticoNC!J73+AnalíticoNC!G71)-H71</f>
        <v>93648.469469999996</v>
      </c>
      <c r="J71" s="105"/>
      <c r="K71" s="105"/>
    </row>
    <row r="72" spans="2:11" ht="12.95" customHeight="1" x14ac:dyDescent="0.25">
      <c r="B72" s="45" t="str">
        <f>VLOOKUP(C72,SintéticoNC!$F$4:$G$83,2,FALSE)</f>
        <v>Luis Tibé</v>
      </c>
      <c r="C72" s="42" t="s">
        <v>196</v>
      </c>
      <c r="D72" s="23" t="s">
        <v>216</v>
      </c>
      <c r="E72" s="43" t="s">
        <v>5</v>
      </c>
      <c r="F72" s="50"/>
      <c r="G72" s="50">
        <f>SintéticoNC!J74*ÍndiceCorreçãoNC!$C$4</f>
        <v>648.46947</v>
      </c>
      <c r="H72" s="50">
        <f>IF(SintéticoNC!J74&gt;AnalíticoNC!F72,AnalíticoNC!F72,SintéticoNC!J74)</f>
        <v>0</v>
      </c>
      <c r="I72" s="50">
        <f>(SintéticoNC!J74+AnalíticoNC!G72)-H72</f>
        <v>93648.469469999996</v>
      </c>
      <c r="J72" s="105"/>
      <c r="K72" s="105"/>
    </row>
    <row r="73" spans="2:11" ht="12.95" customHeight="1" x14ac:dyDescent="0.25">
      <c r="B73" s="45" t="str">
        <f>VLOOKUP(C73,SintéticoNC!$F$4:$G$83,2,FALSE)</f>
        <v>Mara Rocha</v>
      </c>
      <c r="C73" s="42" t="s">
        <v>198</v>
      </c>
      <c r="D73" s="23" t="s">
        <v>216</v>
      </c>
      <c r="E73" s="43" t="s">
        <v>5</v>
      </c>
      <c r="F73" s="50"/>
      <c r="G73" s="50">
        <f>SintéticoNC!J75*ÍndiceCorreçãoNC!$C$4</f>
        <v>1185.3742999999999</v>
      </c>
      <c r="H73" s="50">
        <f>IF(SintéticoNC!J75&gt;AnalíticoNC!F73,AnalíticoNC!F73,SintéticoNC!J75)</f>
        <v>0</v>
      </c>
      <c r="I73" s="50">
        <f>(SintéticoNC!J75+AnalíticoNC!G73)-H73</f>
        <v>171185.3743</v>
      </c>
      <c r="J73" s="105"/>
      <c r="K73" s="105"/>
    </row>
    <row r="74" spans="2:11" ht="12.95" customHeight="1" x14ac:dyDescent="0.25">
      <c r="B74" s="45" t="str">
        <f>VLOOKUP(C74,SintéticoNC!$F$4:$G$83,2,FALSE)</f>
        <v>Marx Beltrão</v>
      </c>
      <c r="C74" s="42" t="s">
        <v>200</v>
      </c>
      <c r="D74" s="23" t="s">
        <v>216</v>
      </c>
      <c r="E74" s="43" t="s">
        <v>5</v>
      </c>
      <c r="F74" s="50"/>
      <c r="G74" s="50">
        <f>SintéticoNC!J76*ÍndiceCorreçãoNC!$C$4</f>
        <v>648.46947</v>
      </c>
      <c r="H74" s="50">
        <f>IF(SintéticoNC!J76&gt;AnalíticoNC!F74,AnalíticoNC!F74,SintéticoNC!J76)</f>
        <v>0</v>
      </c>
      <c r="I74" s="50">
        <f>(SintéticoNC!J76+AnalíticoNC!G74)-H74</f>
        <v>93648.469469999996</v>
      </c>
      <c r="J74" s="105"/>
      <c r="K74" s="105"/>
    </row>
    <row r="75" spans="2:11" ht="12.95" customHeight="1" x14ac:dyDescent="0.25">
      <c r="B75" s="45" t="str">
        <f>VLOOKUP(C75,SintéticoNC!$F$4:$G$83,2,FALSE)</f>
        <v>Perpétua Almeida</v>
      </c>
      <c r="C75" s="42" t="s">
        <v>202</v>
      </c>
      <c r="D75" s="23" t="s">
        <v>216</v>
      </c>
      <c r="E75" s="43" t="s">
        <v>5</v>
      </c>
      <c r="F75" s="50"/>
      <c r="G75" s="50">
        <f>SintéticoNC!J77*ÍndiceCorreçãoNC!$C$4</f>
        <v>1345.7205788399999</v>
      </c>
      <c r="H75" s="50">
        <f>IF(SintéticoNC!J77&gt;AnalíticoNC!F75,AnalíticoNC!F75,SintéticoNC!J77)</f>
        <v>0</v>
      </c>
      <c r="I75" s="50">
        <f>(SintéticoNC!J77+AnalíticoNC!G75)-H75</f>
        <v>194341.72057884</v>
      </c>
      <c r="J75" s="105"/>
      <c r="K75" s="105"/>
    </row>
    <row r="76" spans="2:11" ht="12.95" customHeight="1" x14ac:dyDescent="0.25">
      <c r="B76" s="45" t="str">
        <f>VLOOKUP(C76,SintéticoNC!$F$4:$G$83,2,FALSE)</f>
        <v>Sérgio Petecão</v>
      </c>
      <c r="C76" s="42" t="s">
        <v>204</v>
      </c>
      <c r="D76" s="23" t="s">
        <v>216</v>
      </c>
      <c r="E76" s="43" t="s">
        <v>5</v>
      </c>
      <c r="F76" s="50"/>
      <c r="G76" s="50">
        <f>SintéticoNC!J78*ÍndiceCorreçãoNC!$C$4</f>
        <v>924.68957305999993</v>
      </c>
      <c r="H76" s="50">
        <f>IF(SintéticoNC!J78&gt;AnalíticoNC!F76,AnalíticoNC!F76,SintéticoNC!J78)</f>
        <v>0</v>
      </c>
      <c r="I76" s="50">
        <f>(SintéticoNC!J78+AnalíticoNC!G76)-H76</f>
        <v>133538.68957305999</v>
      </c>
      <c r="J76" s="105"/>
      <c r="K76" s="105"/>
    </row>
    <row r="77" spans="2:11" ht="12.95" customHeight="1" x14ac:dyDescent="0.25">
      <c r="B77" s="45" t="str">
        <f>VLOOKUP(C77,SintéticoNC!$F$4:$G$83,2,FALSE)</f>
        <v>Uldurico Junior</v>
      </c>
      <c r="C77" s="42" t="s">
        <v>206</v>
      </c>
      <c r="D77" s="23" t="s">
        <v>216</v>
      </c>
      <c r="E77" s="43" t="s">
        <v>5</v>
      </c>
      <c r="F77" s="50"/>
      <c r="G77" s="50">
        <f>SintéticoNC!J79*ÍndiceCorreçãoNC!$C$4</f>
        <v>983.16338999999994</v>
      </c>
      <c r="H77" s="50">
        <f>IF(SintéticoNC!J79&gt;AnalíticoNC!F77,AnalíticoNC!F77,SintéticoNC!J79)</f>
        <v>0</v>
      </c>
      <c r="I77" s="50">
        <f>(SintéticoNC!J79+AnalíticoNC!G77)-H77</f>
        <v>141983.16339</v>
      </c>
      <c r="J77" s="105"/>
      <c r="K77" s="105"/>
    </row>
    <row r="78" spans="2:11" ht="12.95" customHeight="1" x14ac:dyDescent="0.25">
      <c r="B78" s="45" t="str">
        <f>VLOOKUP(C78,SintéticoNC!$F$4:$G$83,2,FALSE)</f>
        <v>Soraya Thronicke</v>
      </c>
      <c r="C78" s="42" t="s">
        <v>208</v>
      </c>
      <c r="D78" s="23" t="s">
        <v>216</v>
      </c>
      <c r="E78" s="43" t="s">
        <v>5</v>
      </c>
      <c r="F78" s="50"/>
      <c r="G78" s="50">
        <f>SintéticoNC!J80*ÍndiceCorreçãoNC!$C$4</f>
        <v>1080.7824499999999</v>
      </c>
      <c r="H78" s="50">
        <f>IF(SintéticoNC!J80&gt;AnalíticoNC!F78,AnalíticoNC!F78,SintéticoNC!J80)</f>
        <v>0</v>
      </c>
      <c r="I78" s="50">
        <f>(SintéticoNC!J80+AnalíticoNC!G78)-H78</f>
        <v>156080.78245</v>
      </c>
      <c r="J78" s="105"/>
      <c r="K78" s="105"/>
    </row>
    <row r="79" spans="2:11" ht="12.95" customHeight="1" x14ac:dyDescent="0.25">
      <c r="B79" s="45" t="str">
        <f>VLOOKUP(C79,SintéticoNC!$F$4:$G$83,2,FALSE)</f>
        <v>MCom</v>
      </c>
      <c r="C79" s="42" t="s">
        <v>211</v>
      </c>
      <c r="D79" s="23" t="s">
        <v>216</v>
      </c>
      <c r="E79" s="43" t="s">
        <v>5</v>
      </c>
      <c r="F79" s="50"/>
      <c r="G79" s="50">
        <f>SintéticoNC!J81*ÍndiceCorreçãoNC!$C$4</f>
        <v>3486.395</v>
      </c>
      <c r="H79" s="50">
        <f>IF(SintéticoNC!J81&gt;AnalíticoNC!F79,AnalíticoNC!F79,SintéticoNC!J81)</f>
        <v>0</v>
      </c>
      <c r="I79" s="50">
        <f>(SintéticoNC!J81+AnalíticoNC!G79)-H79</f>
        <v>503486.39500000002</v>
      </c>
      <c r="J79" s="105"/>
      <c r="K79" s="105"/>
    </row>
    <row r="80" spans="2:11" ht="12.95" customHeight="1" x14ac:dyDescent="0.25">
      <c r="B80" s="45" t="str">
        <f>VLOOKUP(C80,SintéticoNC!$F$4:$G$83,2,FALSE)</f>
        <v>Cabo Junio Amaral</v>
      </c>
      <c r="C80" s="42" t="s">
        <v>213</v>
      </c>
      <c r="D80" s="23" t="s">
        <v>216</v>
      </c>
      <c r="E80" s="43" t="s">
        <v>5</v>
      </c>
      <c r="F80" s="50"/>
      <c r="G80" s="50">
        <f>SintéticoNC!J82*ÍndiceCorreçãoNC!$C$4</f>
        <v>648.46947</v>
      </c>
      <c r="H80" s="50">
        <f>IF(SintéticoNC!J82&gt;AnalíticoNC!F80,AnalíticoNC!F80,SintéticoNC!J82)</f>
        <v>0</v>
      </c>
      <c r="I80" s="50">
        <f>(SintéticoNC!J82+AnalíticoNC!G80)-H80</f>
        <v>93648.469469999996</v>
      </c>
      <c r="J80" s="105"/>
      <c r="K80" s="105"/>
    </row>
    <row r="81" spans="2:11" ht="12.95" customHeight="1" x14ac:dyDescent="0.25">
      <c r="B81" s="45" t="str">
        <f>VLOOKUP(C81,SintéticoNC!$F$4:$G$83,2,FALSE)</f>
        <v>Leur Lomanto</v>
      </c>
      <c r="C81" s="42" t="s">
        <v>215</v>
      </c>
      <c r="D81" s="23" t="s">
        <v>216</v>
      </c>
      <c r="E81" s="43" t="s">
        <v>5</v>
      </c>
      <c r="F81" s="50"/>
      <c r="G81" s="50">
        <f>SintéticoNC!J83*ÍndiceCorreçãoNC!$C$4</f>
        <v>195.23811999999998</v>
      </c>
      <c r="H81" s="50">
        <f>IF(SintéticoNC!J83&gt;AnalíticoNC!F81,AnalíticoNC!F81,SintéticoNC!J83)</f>
        <v>0</v>
      </c>
      <c r="I81" s="50">
        <f>(SintéticoNC!J83+AnalíticoNC!G81)-H81</f>
        <v>28195.238120000002</v>
      </c>
      <c r="J81" s="105"/>
      <c r="K81" s="105"/>
    </row>
    <row r="82" spans="2:11" ht="12.95" customHeight="1" x14ac:dyDescent="0.25">
      <c r="B82" s="45" t="str">
        <f>VLOOKUP(C82,SintéticoNC!$F$4:$G$83,2,FALSE)</f>
        <v>Bancada de Alagoas</v>
      </c>
      <c r="C82" s="42" t="s">
        <v>141</v>
      </c>
      <c r="D82" s="23" t="s">
        <v>153</v>
      </c>
      <c r="E82" s="43" t="s">
        <v>6</v>
      </c>
      <c r="F82" s="50"/>
      <c r="G82" s="50">
        <f>I3*ÍndiceCorreçãoNC!$C$5</f>
        <v>0</v>
      </c>
      <c r="H82" s="50">
        <f t="shared" ref="H82:H127" si="0">IF(I3+G82&gt;F82,F82,I3+G82)</f>
        <v>0</v>
      </c>
      <c r="I82" s="50">
        <f t="shared" ref="I82:I127" si="1">IF(F82&gt;I3+G82,"",I3+G82-F82)</f>
        <v>1814033.9908278328</v>
      </c>
      <c r="J82" s="106" t="str">
        <f t="shared" ref="J82:J127" si="2">IF(I82="",F82-(I3+G82),"")</f>
        <v/>
      </c>
      <c r="K82" s="105"/>
    </row>
    <row r="83" spans="2:11" ht="12.95" customHeight="1" x14ac:dyDescent="0.25">
      <c r="B83" s="45" t="str">
        <f>VLOOKUP(C83,SintéticoNC!$F$4:$G$83,2,FALSE)</f>
        <v>Bancada de Alagoas</v>
      </c>
      <c r="C83" s="42" t="s">
        <v>142</v>
      </c>
      <c r="D83" s="23" t="s">
        <v>153</v>
      </c>
      <c r="E83" s="43" t="s">
        <v>6</v>
      </c>
      <c r="F83" s="50"/>
      <c r="G83" s="50">
        <f>I4*ÍndiceCorreçãoNC!$C$5</f>
        <v>0</v>
      </c>
      <c r="H83" s="50">
        <f t="shared" si="0"/>
        <v>0</v>
      </c>
      <c r="I83" s="50">
        <f t="shared" si="1"/>
        <v>528056.53107599996</v>
      </c>
      <c r="J83" s="106" t="str">
        <f t="shared" si="2"/>
        <v/>
      </c>
      <c r="K83" s="105"/>
    </row>
    <row r="84" spans="2:11" ht="12.95" customHeight="1" x14ac:dyDescent="0.25">
      <c r="B84" s="45" t="str">
        <f>VLOOKUP(C84,SintéticoNC!$F$4:$G$83,2,FALSE)</f>
        <v>Bancada de Alagoas</v>
      </c>
      <c r="C84" s="42" t="s">
        <v>143</v>
      </c>
      <c r="D84" s="23" t="s">
        <v>153</v>
      </c>
      <c r="E84" s="43" t="s">
        <v>6</v>
      </c>
      <c r="F84" s="50"/>
      <c r="G84" s="50">
        <f>I5*ÍndiceCorreçãoNC!$C$5</f>
        <v>0</v>
      </c>
      <c r="H84" s="50">
        <f t="shared" si="0"/>
        <v>0</v>
      </c>
      <c r="I84" s="50">
        <f t="shared" si="1"/>
        <v>5262250.4896554798</v>
      </c>
      <c r="J84" s="106" t="str">
        <f t="shared" si="2"/>
        <v/>
      </c>
      <c r="K84" s="105"/>
    </row>
    <row r="85" spans="2:11" ht="12.95" customHeight="1" x14ac:dyDescent="0.25">
      <c r="B85" s="45" t="str">
        <f>VLOOKUP(C85,SintéticoNC!$F$4:$G$83,2,FALSE)</f>
        <v>Bancada de Minas Gerais</v>
      </c>
      <c r="C85" s="42" t="s">
        <v>144</v>
      </c>
      <c r="D85" s="23" t="s">
        <v>153</v>
      </c>
      <c r="E85" s="43" t="s">
        <v>6</v>
      </c>
      <c r="F85" s="50"/>
      <c r="G85" s="50">
        <f>I6*ÍndiceCorreçãoNC!$C$5</f>
        <v>0</v>
      </c>
      <c r="H85" s="50">
        <f t="shared" si="0"/>
        <v>0</v>
      </c>
      <c r="I85" s="50">
        <f t="shared" si="1"/>
        <v>13370850.949225677</v>
      </c>
      <c r="J85" s="106" t="str">
        <f t="shared" si="2"/>
        <v/>
      </c>
      <c r="K85" s="105"/>
    </row>
    <row r="86" spans="2:11" ht="12.95" customHeight="1" x14ac:dyDescent="0.25">
      <c r="B86" s="45" t="str">
        <f>VLOOKUP(C86,SintéticoNC!$F$4:$G$83,2,FALSE)</f>
        <v>Bancada de São Paulo</v>
      </c>
      <c r="C86" s="42" t="s">
        <v>145</v>
      </c>
      <c r="D86" s="23" t="s">
        <v>153</v>
      </c>
      <c r="E86" s="43" t="s">
        <v>6</v>
      </c>
      <c r="F86" s="50"/>
      <c r="G86" s="50">
        <f>I7*ÍndiceCorreçãoNC!$C$5</f>
        <v>0</v>
      </c>
      <c r="H86" s="50">
        <f t="shared" si="0"/>
        <v>0</v>
      </c>
      <c r="I86" s="50">
        <f t="shared" si="1"/>
        <v>1555533.3010259799</v>
      </c>
      <c r="J86" s="106" t="str">
        <f t="shared" si="2"/>
        <v/>
      </c>
      <c r="K86" s="105"/>
    </row>
    <row r="87" spans="2:11" ht="12.95" customHeight="1" x14ac:dyDescent="0.25">
      <c r="B87" s="45" t="str">
        <f>VLOOKUP(C87,SintéticoNC!$F$4:$G$83,2,FALSE)</f>
        <v>Bancada do Espírito Santo</v>
      </c>
      <c r="C87" s="42" t="s">
        <v>146</v>
      </c>
      <c r="D87" s="23" t="s">
        <v>153</v>
      </c>
      <c r="E87" s="43" t="s">
        <v>6</v>
      </c>
      <c r="F87" s="50"/>
      <c r="G87" s="50">
        <f>I8*ÍndiceCorreçãoNC!$C$5</f>
        <v>0</v>
      </c>
      <c r="H87" s="50">
        <f t="shared" si="0"/>
        <v>0</v>
      </c>
      <c r="I87" s="50">
        <f t="shared" si="1"/>
        <v>1420853.1473770875</v>
      </c>
      <c r="J87" s="106" t="str">
        <f t="shared" si="2"/>
        <v/>
      </c>
      <c r="K87" s="105"/>
    </row>
    <row r="88" spans="2:11" ht="12.95" customHeight="1" x14ac:dyDescent="0.25">
      <c r="B88" s="45" t="str">
        <f>VLOOKUP(C88,SintéticoNC!$F$4:$G$83,2,FALSE)</f>
        <v>Bancada do Espírito Santo</v>
      </c>
      <c r="C88" s="42" t="s">
        <v>147</v>
      </c>
      <c r="D88" s="23" t="s">
        <v>153</v>
      </c>
      <c r="E88" s="43" t="s">
        <v>6</v>
      </c>
      <c r="F88" s="50"/>
      <c r="G88" s="50">
        <f>I9*ÍndiceCorreçãoNC!$C$5</f>
        <v>0</v>
      </c>
      <c r="H88" s="50">
        <f t="shared" si="0"/>
        <v>0</v>
      </c>
      <c r="I88" s="50">
        <f t="shared" si="1"/>
        <v>2260653.9135500002</v>
      </c>
      <c r="J88" s="106" t="str">
        <f t="shared" si="2"/>
        <v/>
      </c>
      <c r="K88" s="105"/>
    </row>
    <row r="89" spans="2:11" ht="12.95" customHeight="1" x14ac:dyDescent="0.25">
      <c r="B89" s="45" t="str">
        <f>VLOOKUP(C89,SintéticoNC!$F$4:$G$83,2,FALSE)</f>
        <v>Bancada do Espírito Santo</v>
      </c>
      <c r="C89" s="42" t="s">
        <v>148</v>
      </c>
      <c r="D89" s="23" t="s">
        <v>153</v>
      </c>
      <c r="E89" s="43" t="s">
        <v>6</v>
      </c>
      <c r="F89" s="50"/>
      <c r="G89" s="50">
        <f>I10*ÍndiceCorreçãoNC!$C$5</f>
        <v>0</v>
      </c>
      <c r="H89" s="50">
        <f t="shared" si="0"/>
        <v>0</v>
      </c>
      <c r="I89" s="50">
        <f t="shared" si="1"/>
        <v>2771189.1180799999</v>
      </c>
      <c r="J89" s="106" t="str">
        <f t="shared" si="2"/>
        <v/>
      </c>
      <c r="K89" s="105"/>
    </row>
    <row r="90" spans="2:11" ht="12.95" customHeight="1" x14ac:dyDescent="0.25">
      <c r="B90" s="45" t="str">
        <f>VLOOKUP(C90,SintéticoNC!$F$4:$G$83,2,FALSE)</f>
        <v>Bancada do Maranhão</v>
      </c>
      <c r="C90" s="42" t="s">
        <v>149</v>
      </c>
      <c r="D90" s="23" t="s">
        <v>153</v>
      </c>
      <c r="E90" s="43" t="s">
        <v>6</v>
      </c>
      <c r="F90" s="50"/>
      <c r="G90" s="50">
        <f>I11*ÍndiceCorreçãoNC!$C$5</f>
        <v>0</v>
      </c>
      <c r="H90" s="50">
        <f t="shared" si="0"/>
        <v>0</v>
      </c>
      <c r="I90" s="50">
        <f t="shared" si="1"/>
        <v>755229.59250000003</v>
      </c>
      <c r="J90" s="106" t="str">
        <f t="shared" si="2"/>
        <v/>
      </c>
      <c r="K90" s="105"/>
    </row>
    <row r="91" spans="2:11" ht="12.95" customHeight="1" x14ac:dyDescent="0.25">
      <c r="B91" s="45" t="str">
        <f>VLOOKUP(C91,SintéticoNC!$F$4:$G$83,2,FALSE)</f>
        <v>Bancada do Pará</v>
      </c>
      <c r="C91" s="42" t="s">
        <v>152</v>
      </c>
      <c r="D91" s="23" t="s">
        <v>153</v>
      </c>
      <c r="E91" s="43" t="s">
        <v>6</v>
      </c>
      <c r="F91" s="50"/>
      <c r="G91" s="50">
        <f>I12*ÍndiceCorreçãoNC!$C$5</f>
        <v>0</v>
      </c>
      <c r="H91" s="50">
        <f t="shared" si="0"/>
        <v>0</v>
      </c>
      <c r="I91" s="50">
        <f t="shared" si="1"/>
        <v>493416.66710000002</v>
      </c>
      <c r="J91" s="106" t="str">
        <f t="shared" si="2"/>
        <v/>
      </c>
      <c r="K91" s="105"/>
    </row>
    <row r="92" spans="2:11" ht="12.95" customHeight="1" x14ac:dyDescent="0.25">
      <c r="B92" s="45" t="str">
        <f>VLOOKUP(C92,SintéticoNC!$F$4:$G$83,2,FALSE)</f>
        <v>Bancada do Pará</v>
      </c>
      <c r="C92" s="42" t="s">
        <v>151</v>
      </c>
      <c r="D92" s="23" t="s">
        <v>153</v>
      </c>
      <c r="E92" s="43" t="s">
        <v>6</v>
      </c>
      <c r="F92" s="50"/>
      <c r="G92" s="50">
        <f>I13*ÍndiceCorreçãoNC!$C$5</f>
        <v>0</v>
      </c>
      <c r="H92" s="50">
        <f t="shared" si="0"/>
        <v>0</v>
      </c>
      <c r="I92" s="50">
        <f t="shared" si="1"/>
        <v>837197.17760599998</v>
      </c>
      <c r="J92" s="106" t="str">
        <f t="shared" si="2"/>
        <v/>
      </c>
      <c r="K92" s="105"/>
    </row>
    <row r="93" spans="2:11" ht="12.95" customHeight="1" x14ac:dyDescent="0.25">
      <c r="B93" s="45" t="str">
        <f>VLOOKUP(C93,SintéticoNC!$F$4:$G$83,2,FALSE)</f>
        <v>Cabo Junio Amaral</v>
      </c>
      <c r="C93" s="42" t="s">
        <v>150</v>
      </c>
      <c r="D93" s="23" t="s">
        <v>153</v>
      </c>
      <c r="E93" s="43" t="s">
        <v>6</v>
      </c>
      <c r="F93" s="50"/>
      <c r="G93" s="50">
        <f>I14*ÍndiceCorreçãoNC!$C$5</f>
        <v>0</v>
      </c>
      <c r="H93" s="50">
        <f t="shared" si="0"/>
        <v>0</v>
      </c>
      <c r="I93" s="50">
        <f t="shared" si="1"/>
        <v>208443.36752999999</v>
      </c>
      <c r="J93" s="106" t="str">
        <f t="shared" si="2"/>
        <v/>
      </c>
      <c r="K93" s="105"/>
    </row>
    <row r="94" spans="2:11" ht="12.95" customHeight="1" x14ac:dyDescent="0.25">
      <c r="B94" s="45" t="str">
        <f>VLOOKUP(C94,SintéticoNC!$F$4:$G$83,2,FALSE)</f>
        <v>Celso Sabino</v>
      </c>
      <c r="C94" s="42" t="s">
        <v>44</v>
      </c>
      <c r="D94" s="23" t="s">
        <v>153</v>
      </c>
      <c r="E94" s="43" t="s">
        <v>6</v>
      </c>
      <c r="F94" s="50"/>
      <c r="G94" s="50">
        <f>I15*ÍndiceCorreçãoNC!$C$5</f>
        <v>0</v>
      </c>
      <c r="H94" s="50">
        <f t="shared" si="0"/>
        <v>0</v>
      </c>
      <c r="I94" s="50">
        <f t="shared" si="1"/>
        <v>97875.449220310911</v>
      </c>
      <c r="J94" s="106" t="str">
        <f t="shared" si="2"/>
        <v/>
      </c>
      <c r="K94" s="105"/>
    </row>
    <row r="95" spans="2:11" ht="12.95" customHeight="1" x14ac:dyDescent="0.25">
      <c r="B95" s="45" t="str">
        <f>VLOOKUP(C95,SintéticoNC!$F$4:$G$83,2,FALSE)</f>
        <v>Coronel Chrisóstomo</v>
      </c>
      <c r="C95" s="42" t="s">
        <v>47</v>
      </c>
      <c r="D95" s="23" t="s">
        <v>153</v>
      </c>
      <c r="E95" s="43" t="s">
        <v>6</v>
      </c>
      <c r="F95" s="50"/>
      <c r="G95" s="50">
        <f>I16*ÍndiceCorreçãoNC!$C$5</f>
        <v>0</v>
      </c>
      <c r="H95" s="50">
        <f t="shared" si="0"/>
        <v>0</v>
      </c>
      <c r="I95" s="50">
        <f t="shared" si="1"/>
        <v>139465.73141499999</v>
      </c>
      <c r="J95" s="106" t="str">
        <f t="shared" si="2"/>
        <v/>
      </c>
      <c r="K95" s="105"/>
    </row>
    <row r="96" spans="2:11" ht="12.95" customHeight="1" x14ac:dyDescent="0.25">
      <c r="B96" s="45" t="str">
        <f>VLOOKUP(C96,SintéticoNC!$F$4:$G$83,2,FALSE)</f>
        <v>Dimas Fabiano</v>
      </c>
      <c r="C96" s="42" t="s">
        <v>50</v>
      </c>
      <c r="D96" s="23" t="s">
        <v>153</v>
      </c>
      <c r="E96" s="43" t="s">
        <v>6</v>
      </c>
      <c r="F96" s="50"/>
      <c r="G96" s="50">
        <f>I17*ÍndiceCorreçãoNC!$C$5</f>
        <v>0</v>
      </c>
      <c r="H96" s="50">
        <f t="shared" si="0"/>
        <v>0</v>
      </c>
      <c r="I96" s="50">
        <f t="shared" si="1"/>
        <v>208443.36752999999</v>
      </c>
      <c r="J96" s="106" t="str">
        <f t="shared" si="2"/>
        <v/>
      </c>
      <c r="K96" s="105"/>
    </row>
    <row r="97" spans="2:11" ht="12.95" customHeight="1" x14ac:dyDescent="0.25">
      <c r="B97" s="45" t="str">
        <f>VLOOKUP(C97,SintéticoNC!$F$4:$G$83,2,FALSE)</f>
        <v>Edna Henrique</v>
      </c>
      <c r="C97" s="42" t="s">
        <v>53</v>
      </c>
      <c r="D97" s="23" t="s">
        <v>153</v>
      </c>
      <c r="E97" s="43" t="s">
        <v>6</v>
      </c>
      <c r="F97" s="50"/>
      <c r="G97" s="50">
        <f>I18*ÍndiceCorreçãoNC!$C$5</f>
        <v>0</v>
      </c>
      <c r="H97" s="50">
        <f t="shared" si="0"/>
        <v>0</v>
      </c>
      <c r="I97" s="50">
        <f t="shared" si="1"/>
        <v>209450.34031999999</v>
      </c>
      <c r="J97" s="106" t="str">
        <f t="shared" si="2"/>
        <v/>
      </c>
      <c r="K97" s="105"/>
    </row>
    <row r="98" spans="2:11" ht="12.95" customHeight="1" x14ac:dyDescent="0.25">
      <c r="B98" s="45" t="str">
        <f>VLOOKUP(C98,SintéticoNC!$F$4:$G$83,2,FALSE)</f>
        <v>Elias Vaz</v>
      </c>
      <c r="C98" s="42" t="s">
        <v>56</v>
      </c>
      <c r="D98" s="23" t="s">
        <v>153</v>
      </c>
      <c r="E98" s="43" t="s">
        <v>6</v>
      </c>
      <c r="F98" s="50"/>
      <c r="G98" s="50">
        <f>I19*ÍndiceCorreçãoNC!$C$5</f>
        <v>0</v>
      </c>
      <c r="H98" s="50">
        <f t="shared" si="0"/>
        <v>0</v>
      </c>
      <c r="I98" s="50">
        <f t="shared" si="1"/>
        <v>402789.11599999998</v>
      </c>
      <c r="J98" s="106" t="str">
        <f t="shared" si="2"/>
        <v/>
      </c>
      <c r="K98" s="105"/>
    </row>
    <row r="99" spans="2:11" ht="12.95" customHeight="1" x14ac:dyDescent="0.25">
      <c r="B99" s="45" t="str">
        <f>VLOOKUP(C99,SintéticoNC!$F$4:$G$83,2,FALSE)</f>
        <v>Expedito Netto</v>
      </c>
      <c r="C99" s="42" t="s">
        <v>59</v>
      </c>
      <c r="D99" s="23" t="s">
        <v>153</v>
      </c>
      <c r="E99" s="43" t="s">
        <v>6</v>
      </c>
      <c r="F99" s="50"/>
      <c r="G99" s="50">
        <f>I20*ÍndiceCorreçãoNC!$C$5</f>
        <v>0</v>
      </c>
      <c r="H99" s="50">
        <f t="shared" si="0"/>
        <v>0</v>
      </c>
      <c r="I99" s="50">
        <f t="shared" si="1"/>
        <v>283300.95943927957</v>
      </c>
      <c r="J99" s="106" t="str">
        <f t="shared" si="2"/>
        <v/>
      </c>
      <c r="K99" s="105"/>
    </row>
    <row r="100" spans="2:11" ht="12.95" customHeight="1" x14ac:dyDescent="0.25">
      <c r="B100" s="45" t="str">
        <f>VLOOKUP(C100,SintéticoNC!$F$4:$G$83,2,FALSE)</f>
        <v>Fabio Reis</v>
      </c>
      <c r="C100" s="42" t="s">
        <v>62</v>
      </c>
      <c r="D100" s="23" t="s">
        <v>153</v>
      </c>
      <c r="E100" s="43" t="s">
        <v>6</v>
      </c>
      <c r="F100" s="50"/>
      <c r="G100" s="50">
        <f>I21*ÍndiceCorreçãoNC!$C$5</f>
        <v>0</v>
      </c>
      <c r="H100" s="50">
        <f t="shared" si="0"/>
        <v>0</v>
      </c>
      <c r="I100" s="50">
        <f t="shared" si="1"/>
        <v>82156.865781336295</v>
      </c>
      <c r="J100" s="106" t="str">
        <f t="shared" si="2"/>
        <v/>
      </c>
      <c r="K100" s="105"/>
    </row>
    <row r="101" spans="2:11" ht="12.95" customHeight="1" x14ac:dyDescent="0.25">
      <c r="B101" s="45" t="str">
        <f>VLOOKUP(C101,SintéticoNC!$F$4:$G$83,2,FALSE)</f>
        <v>Flavia Arruda</v>
      </c>
      <c r="C101" s="42" t="s">
        <v>65</v>
      </c>
      <c r="D101" s="23" t="s">
        <v>153</v>
      </c>
      <c r="E101" s="43" t="s">
        <v>6</v>
      </c>
      <c r="F101" s="50"/>
      <c r="G101" s="50">
        <f>I22*ÍndiceCorreçãoNC!$C$5</f>
        <v>0</v>
      </c>
      <c r="H101" s="50">
        <f t="shared" si="0"/>
        <v>0</v>
      </c>
      <c r="I101" s="50">
        <f t="shared" si="1"/>
        <v>887563.63045465504</v>
      </c>
      <c r="J101" s="106" t="str">
        <f t="shared" si="2"/>
        <v/>
      </c>
      <c r="K101" s="105"/>
    </row>
    <row r="102" spans="2:11" ht="12.95" customHeight="1" x14ac:dyDescent="0.25">
      <c r="B102" s="45" t="str">
        <f>VLOOKUP(C102,SintéticoNC!$F$4:$G$83,2,FALSE)</f>
        <v>Flaviano Melo</v>
      </c>
      <c r="C102" s="42" t="s">
        <v>68</v>
      </c>
      <c r="D102" s="23" t="s">
        <v>153</v>
      </c>
      <c r="E102" s="43" t="s">
        <v>6</v>
      </c>
      <c r="F102" s="50"/>
      <c r="G102" s="50">
        <f>I23*ÍndiceCorreçãoNC!$C$5</f>
        <v>0</v>
      </c>
      <c r="H102" s="50">
        <f t="shared" si="0"/>
        <v>0</v>
      </c>
      <c r="I102" s="50">
        <f t="shared" si="1"/>
        <v>506301.91106029582</v>
      </c>
      <c r="J102" s="106" t="str">
        <f t="shared" si="2"/>
        <v/>
      </c>
      <c r="K102" s="105"/>
    </row>
    <row r="103" spans="2:11" ht="12.95" customHeight="1" x14ac:dyDescent="0.25">
      <c r="B103" s="45" t="str">
        <f>VLOOKUP(C103,SintéticoNC!$F$4:$G$83,2,FALSE)</f>
        <v>General Girão</v>
      </c>
      <c r="C103" s="42" t="s">
        <v>71</v>
      </c>
      <c r="D103" s="23" t="s">
        <v>153</v>
      </c>
      <c r="E103" s="43" t="s">
        <v>6</v>
      </c>
      <c r="F103" s="50"/>
      <c r="G103" s="50">
        <f>I24*ÍndiceCorreçãoNC!$C$5</f>
        <v>0</v>
      </c>
      <c r="H103" s="50">
        <f t="shared" si="0"/>
        <v>0</v>
      </c>
      <c r="I103" s="50">
        <f t="shared" si="1"/>
        <v>208443.36752999999</v>
      </c>
      <c r="J103" s="106" t="str">
        <f t="shared" si="2"/>
        <v/>
      </c>
      <c r="K103" s="105"/>
    </row>
    <row r="104" spans="2:11" ht="12.95" customHeight="1" x14ac:dyDescent="0.25">
      <c r="B104" s="45" t="str">
        <f>VLOOKUP(C104,SintéticoNC!$F$4:$G$83,2,FALSE)</f>
        <v>João Roma</v>
      </c>
      <c r="C104" s="42" t="s">
        <v>74</v>
      </c>
      <c r="D104" s="23" t="s">
        <v>153</v>
      </c>
      <c r="E104" s="43" t="s">
        <v>6</v>
      </c>
      <c r="F104" s="50"/>
      <c r="G104" s="50">
        <f>I25*ÍndiceCorreçãoNC!$C$5</f>
        <v>0</v>
      </c>
      <c r="H104" s="50">
        <f t="shared" si="0"/>
        <v>0</v>
      </c>
      <c r="I104" s="50">
        <f t="shared" si="1"/>
        <v>72671.020983889903</v>
      </c>
      <c r="J104" s="106" t="str">
        <f t="shared" si="2"/>
        <v/>
      </c>
      <c r="K104" s="105"/>
    </row>
    <row r="105" spans="2:11" ht="12.95" customHeight="1" x14ac:dyDescent="0.25">
      <c r="B105" s="45" t="str">
        <f>VLOOKUP(C105,SintéticoNC!$F$4:$G$83,2,FALSE)</f>
        <v>Joenia Wapichana</v>
      </c>
      <c r="C105" s="42" t="s">
        <v>77</v>
      </c>
      <c r="D105" s="23" t="s">
        <v>153</v>
      </c>
      <c r="E105" s="43" t="s">
        <v>6</v>
      </c>
      <c r="F105" s="50"/>
      <c r="G105" s="50">
        <f>I26*ÍndiceCorreçãoNC!$C$5</f>
        <v>0</v>
      </c>
      <c r="H105" s="50">
        <f t="shared" si="0"/>
        <v>0</v>
      </c>
      <c r="I105" s="50">
        <f t="shared" si="1"/>
        <v>9161.8613719917994</v>
      </c>
      <c r="J105" s="106" t="str">
        <f t="shared" si="2"/>
        <v/>
      </c>
      <c r="K105" s="105"/>
    </row>
    <row r="106" spans="2:11" ht="12.95" customHeight="1" x14ac:dyDescent="0.25">
      <c r="B106" s="45" t="str">
        <f>VLOOKUP(C106,SintéticoNC!$F$4:$G$83,2,FALSE)</f>
        <v>José Nunes</v>
      </c>
      <c r="C106" s="42" t="s">
        <v>80</v>
      </c>
      <c r="D106" s="23" t="s">
        <v>153</v>
      </c>
      <c r="E106" s="43" t="s">
        <v>6</v>
      </c>
      <c r="F106" s="50"/>
      <c r="G106" s="50">
        <f>I27*ÍndiceCorreçãoNC!$C$5</f>
        <v>0</v>
      </c>
      <c r="H106" s="50">
        <f t="shared" si="0"/>
        <v>0</v>
      </c>
      <c r="I106" s="50">
        <f t="shared" si="1"/>
        <v>208443.36752999999</v>
      </c>
      <c r="J106" s="106" t="str">
        <f t="shared" si="2"/>
        <v/>
      </c>
      <c r="K106" s="105"/>
    </row>
    <row r="107" spans="2:11" ht="12.95" customHeight="1" x14ac:dyDescent="0.25">
      <c r="B107" s="45" t="str">
        <f>VLOOKUP(C107,SintéticoNC!$F$4:$G$83,2,FALSE)</f>
        <v>Josivaldo JP</v>
      </c>
      <c r="C107" s="42" t="s">
        <v>83</v>
      </c>
      <c r="D107" s="23" t="s">
        <v>153</v>
      </c>
      <c r="E107" s="43" t="s">
        <v>6</v>
      </c>
      <c r="F107" s="50"/>
      <c r="G107" s="50">
        <f>I28*ÍndiceCorreçãoNC!$C$5</f>
        <v>0</v>
      </c>
      <c r="H107" s="50">
        <f t="shared" si="0"/>
        <v>0</v>
      </c>
      <c r="I107" s="50">
        <f t="shared" si="1"/>
        <v>102711.22457999999</v>
      </c>
      <c r="J107" s="106" t="str">
        <f t="shared" si="2"/>
        <v/>
      </c>
      <c r="K107" s="105"/>
    </row>
    <row r="108" spans="2:11" ht="12.95" customHeight="1" x14ac:dyDescent="0.25">
      <c r="B108" s="45" t="str">
        <f>VLOOKUP(C108,SintéticoNC!$F$4:$G$83,2,FALSE)</f>
        <v>Junior Lourenço</v>
      </c>
      <c r="C108" s="42" t="s">
        <v>86</v>
      </c>
      <c r="D108" s="23" t="s">
        <v>153</v>
      </c>
      <c r="E108" s="43" t="s">
        <v>6</v>
      </c>
      <c r="F108" s="50"/>
      <c r="G108" s="50">
        <f>I29*ÍndiceCorreçãoNC!$C$5</f>
        <v>0</v>
      </c>
      <c r="H108" s="50">
        <f t="shared" si="0"/>
        <v>0</v>
      </c>
      <c r="I108" s="50">
        <f t="shared" si="1"/>
        <v>347405.61255000002</v>
      </c>
      <c r="J108" s="106" t="str">
        <f t="shared" si="2"/>
        <v/>
      </c>
      <c r="K108" s="105"/>
    </row>
    <row r="109" spans="2:11" ht="12.95" customHeight="1" x14ac:dyDescent="0.25">
      <c r="B109" s="45" t="str">
        <f>VLOOKUP(C109,SintéticoNC!$F$4:$G$83,2,FALSE)</f>
        <v>Leo de Brito</v>
      </c>
      <c r="C109" s="42" t="s">
        <v>89</v>
      </c>
      <c r="D109" s="23" t="s">
        <v>153</v>
      </c>
      <c r="E109" s="43" t="s">
        <v>6</v>
      </c>
      <c r="F109" s="50"/>
      <c r="G109" s="50">
        <f>I30*ÍndiceCorreçãoNC!$C$5</f>
        <v>0</v>
      </c>
      <c r="H109" s="50">
        <f t="shared" si="0"/>
        <v>0</v>
      </c>
      <c r="I109" s="50">
        <f t="shared" si="1"/>
        <v>432998.29969999997</v>
      </c>
      <c r="J109" s="106" t="str">
        <f t="shared" si="2"/>
        <v/>
      </c>
      <c r="K109" s="105"/>
    </row>
    <row r="110" spans="2:11" ht="12.95" customHeight="1" x14ac:dyDescent="0.25">
      <c r="B110" s="45" t="str">
        <f>VLOOKUP(C110,SintéticoNC!$F$4:$G$83,2,FALSE)</f>
        <v>Leur Lomanto</v>
      </c>
      <c r="C110" s="42" t="s">
        <v>92</v>
      </c>
      <c r="D110" s="23" t="s">
        <v>153</v>
      </c>
      <c r="E110" s="43" t="s">
        <v>6</v>
      </c>
      <c r="F110" s="50"/>
      <c r="G110" s="50">
        <f>I31*ÍndiceCorreçãoNC!$C$5</f>
        <v>0</v>
      </c>
      <c r="H110" s="50">
        <f t="shared" si="0"/>
        <v>0</v>
      </c>
      <c r="I110" s="50">
        <f t="shared" si="1"/>
        <v>66563.217456416998</v>
      </c>
      <c r="J110" s="106" t="str">
        <f t="shared" si="2"/>
        <v/>
      </c>
      <c r="K110" s="105"/>
    </row>
    <row r="111" spans="2:11" ht="12.95" customHeight="1" x14ac:dyDescent="0.25">
      <c r="B111" s="45" t="str">
        <f>VLOOKUP(C111,SintéticoNC!$F$4:$G$83,2,FALSE)</f>
        <v>Luciano Bivar</v>
      </c>
      <c r="C111" s="42" t="s">
        <v>95</v>
      </c>
      <c r="D111" s="23" t="s">
        <v>153</v>
      </c>
      <c r="E111" s="43" t="s">
        <v>6</v>
      </c>
      <c r="F111" s="50"/>
      <c r="G111" s="50">
        <f>I32*ÍndiceCorreçãoNC!$C$5</f>
        <v>0</v>
      </c>
      <c r="H111" s="50">
        <f t="shared" si="0"/>
        <v>0</v>
      </c>
      <c r="I111" s="50">
        <f t="shared" si="1"/>
        <v>2492.2979341616001</v>
      </c>
      <c r="J111" s="106" t="str">
        <f t="shared" si="2"/>
        <v/>
      </c>
      <c r="K111" s="105"/>
    </row>
    <row r="112" spans="2:11" ht="12.95" customHeight="1" x14ac:dyDescent="0.25">
      <c r="B112" s="45" t="str">
        <f>VLOOKUP(C112,SintéticoNC!$F$4:$G$83,2,FALSE)</f>
        <v>Luis Tibé</v>
      </c>
      <c r="C112" s="42" t="s">
        <v>98</v>
      </c>
      <c r="D112" s="23" t="s">
        <v>153</v>
      </c>
      <c r="E112" s="43" t="s">
        <v>6</v>
      </c>
      <c r="F112" s="50"/>
      <c r="G112" s="50">
        <f>I33*ÍndiceCorreçãoNC!$C$5</f>
        <v>0</v>
      </c>
      <c r="H112" s="50">
        <f t="shared" si="0"/>
        <v>0</v>
      </c>
      <c r="I112" s="50">
        <f t="shared" si="1"/>
        <v>208443.36752999999</v>
      </c>
      <c r="J112" s="106" t="str">
        <f t="shared" si="2"/>
        <v/>
      </c>
      <c r="K112" s="105"/>
    </row>
    <row r="113" spans="2:11" ht="12.95" customHeight="1" x14ac:dyDescent="0.25">
      <c r="B113" s="45" t="str">
        <f>VLOOKUP(C113,SintéticoNC!$F$4:$G$83,2,FALSE)</f>
        <v>Mara Rocha</v>
      </c>
      <c r="C113" s="42" t="s">
        <v>101</v>
      </c>
      <c r="D113" s="23" t="s">
        <v>153</v>
      </c>
      <c r="E113" s="43" t="s">
        <v>6</v>
      </c>
      <c r="F113" s="50"/>
      <c r="G113" s="50">
        <f>I34*ÍndiceCorreçãoNC!$C$5</f>
        <v>0</v>
      </c>
      <c r="H113" s="50">
        <f t="shared" si="0"/>
        <v>0</v>
      </c>
      <c r="I113" s="50">
        <f t="shared" si="1"/>
        <v>411222.61381352897</v>
      </c>
      <c r="J113" s="106" t="str">
        <f t="shared" si="2"/>
        <v/>
      </c>
      <c r="K113" s="105"/>
    </row>
    <row r="114" spans="2:11" ht="12.95" customHeight="1" x14ac:dyDescent="0.25">
      <c r="B114" s="45" t="str">
        <f>VLOOKUP(C114,SintéticoNC!$F$4:$G$83,2,FALSE)</f>
        <v>Marx Beltrão</v>
      </c>
      <c r="C114" s="42" t="s">
        <v>104</v>
      </c>
      <c r="D114" s="23" t="s">
        <v>153</v>
      </c>
      <c r="E114" s="43" t="s">
        <v>6</v>
      </c>
      <c r="F114" s="50"/>
      <c r="G114" s="50">
        <f>I35*ÍndiceCorreçãoNC!$C$5</f>
        <v>0</v>
      </c>
      <c r="H114" s="50">
        <f t="shared" si="0"/>
        <v>0</v>
      </c>
      <c r="I114" s="50">
        <f t="shared" si="1"/>
        <v>208443.36752999999</v>
      </c>
      <c r="J114" s="106" t="str">
        <f t="shared" si="2"/>
        <v/>
      </c>
      <c r="K114" s="105"/>
    </row>
    <row r="115" spans="2:11" ht="12.95" customHeight="1" x14ac:dyDescent="0.25">
      <c r="B115" s="45" t="str">
        <f>VLOOKUP(C115,SintéticoNC!$F$4:$G$83,2,FALSE)</f>
        <v>Ministério das Comunicações</v>
      </c>
      <c r="C115" s="42" t="s">
        <v>107</v>
      </c>
      <c r="D115" s="23" t="s">
        <v>153</v>
      </c>
      <c r="E115" s="43" t="s">
        <v>6</v>
      </c>
      <c r="F115" s="50"/>
      <c r="G115" s="50">
        <f>I36*ÍndiceCorreçãoNC!$C$5</f>
        <v>0</v>
      </c>
      <c r="H115" s="50">
        <f t="shared" si="0"/>
        <v>0</v>
      </c>
      <c r="I115" s="50">
        <f t="shared" si="1"/>
        <v>15499755.251688881</v>
      </c>
      <c r="J115" s="106" t="str">
        <f t="shared" si="2"/>
        <v/>
      </c>
      <c r="K115" s="105"/>
    </row>
    <row r="116" spans="2:11" ht="12.95" customHeight="1" x14ac:dyDescent="0.25">
      <c r="B116" s="45" t="str">
        <f>VLOOKUP(C116,SintéticoNC!$F$4:$G$83,2,FALSE)</f>
        <v>Ministério das Comunicações</v>
      </c>
      <c r="C116" s="42" t="s">
        <v>109</v>
      </c>
      <c r="D116" s="23" t="s">
        <v>153</v>
      </c>
      <c r="E116" s="43" t="s">
        <v>6</v>
      </c>
      <c r="F116" s="50"/>
      <c r="G116" s="50">
        <f>I37*ÍndiceCorreçãoNC!$C$5</f>
        <v>0</v>
      </c>
      <c r="H116" s="50">
        <f t="shared" si="0"/>
        <v>0</v>
      </c>
      <c r="I116" s="50">
        <f t="shared" si="1"/>
        <v>3713715.64952</v>
      </c>
      <c r="J116" s="106" t="str">
        <f t="shared" si="2"/>
        <v/>
      </c>
      <c r="K116" s="105"/>
    </row>
    <row r="117" spans="2:11" ht="12.95" customHeight="1" x14ac:dyDescent="0.25">
      <c r="B117" s="45" t="str">
        <f>VLOOKUP(C117,SintéticoNC!$F$4:$G$83,2,FALSE)</f>
        <v>Ministério das Comunicações</v>
      </c>
      <c r="C117" s="42" t="s">
        <v>111</v>
      </c>
      <c r="D117" s="23" t="s">
        <v>153</v>
      </c>
      <c r="E117" s="43" t="s">
        <v>6</v>
      </c>
      <c r="F117" s="50"/>
      <c r="G117" s="50">
        <f>I38*ÍndiceCorreçãoNC!$C$5</f>
        <v>0</v>
      </c>
      <c r="H117" s="50">
        <f t="shared" si="0"/>
        <v>0</v>
      </c>
      <c r="I117" s="50">
        <f t="shared" si="1"/>
        <v>10069727.9</v>
      </c>
      <c r="J117" s="106" t="str">
        <f t="shared" si="2"/>
        <v/>
      </c>
      <c r="K117" s="105"/>
    </row>
    <row r="118" spans="2:11" ht="12.95" customHeight="1" x14ac:dyDescent="0.25">
      <c r="B118" s="45" t="str">
        <f>VLOOKUP(C118,SintéticoNC!$F$4:$G$83,2,FALSE)</f>
        <v>Ministério da Educação</v>
      </c>
      <c r="C118" s="42" t="s">
        <v>114</v>
      </c>
      <c r="D118" s="23" t="s">
        <v>153</v>
      </c>
      <c r="E118" s="43" t="s">
        <v>6</v>
      </c>
      <c r="F118" s="50"/>
      <c r="G118" s="50">
        <f>I39*ÍndiceCorreçãoNC!$C$5</f>
        <v>0</v>
      </c>
      <c r="H118" s="50">
        <f t="shared" si="0"/>
        <v>0</v>
      </c>
      <c r="I118" s="50">
        <f t="shared" si="1"/>
        <v>16980781.538382418</v>
      </c>
      <c r="J118" s="106" t="str">
        <f t="shared" si="2"/>
        <v/>
      </c>
      <c r="K118" s="105"/>
    </row>
    <row r="119" spans="2:11" ht="12.95" customHeight="1" x14ac:dyDescent="0.25">
      <c r="B119" s="45" t="str">
        <f>VLOOKUP(C119,SintéticoNC!$F$4:$G$83,2,FALSE)</f>
        <v>Ministério da Educação</v>
      </c>
      <c r="C119" s="42" t="s">
        <v>116</v>
      </c>
      <c r="D119" s="23" t="s">
        <v>153</v>
      </c>
      <c r="E119" s="43" t="s">
        <v>6</v>
      </c>
      <c r="F119" s="50"/>
      <c r="G119" s="50">
        <f>I40*ÍndiceCorreçãoNC!$C$5</f>
        <v>0</v>
      </c>
      <c r="H119" s="50">
        <f t="shared" si="0"/>
        <v>0</v>
      </c>
      <c r="I119" s="50">
        <f t="shared" si="1"/>
        <v>3706666.8399899998</v>
      </c>
      <c r="J119" s="106" t="str">
        <f t="shared" si="2"/>
        <v/>
      </c>
      <c r="K119" s="105"/>
    </row>
    <row r="120" spans="2:11" ht="12.95" customHeight="1" x14ac:dyDescent="0.25">
      <c r="B120" s="45" t="str">
        <f>VLOOKUP(C120,SintéticoNC!$F$4:$G$83,2,FALSE)</f>
        <v>Ministério da Justiça</v>
      </c>
      <c r="C120" s="42" t="s">
        <v>119</v>
      </c>
      <c r="D120" s="23" t="s">
        <v>153</v>
      </c>
      <c r="E120" s="43" t="s">
        <v>6</v>
      </c>
      <c r="F120" s="50"/>
      <c r="G120" s="50">
        <f>I41*ÍndiceCorreçãoNC!$C$5</f>
        <v>0</v>
      </c>
      <c r="H120" s="50">
        <f t="shared" si="0"/>
        <v>0</v>
      </c>
      <c r="I120" s="50">
        <f t="shared" si="1"/>
        <v>630294.98193109501</v>
      </c>
      <c r="J120" s="106" t="str">
        <f t="shared" si="2"/>
        <v/>
      </c>
      <c r="K120" s="105"/>
    </row>
    <row r="121" spans="2:11" ht="12.95" customHeight="1" x14ac:dyDescent="0.25">
      <c r="B121" s="45" t="str">
        <f>VLOOKUP(C121,SintéticoNC!$F$4:$G$83,2,FALSE)</f>
        <v>Ministério do Meio Ambiente</v>
      </c>
      <c r="C121" s="42" t="s">
        <v>122</v>
      </c>
      <c r="D121" s="23" t="s">
        <v>153</v>
      </c>
      <c r="E121" s="43" t="s">
        <v>6</v>
      </c>
      <c r="F121" s="50"/>
      <c r="G121" s="50">
        <f>I42*ÍndiceCorreçãoNC!$C$5</f>
        <v>0</v>
      </c>
      <c r="H121" s="50">
        <f t="shared" si="0"/>
        <v>0</v>
      </c>
      <c r="I121" s="50">
        <f t="shared" si="1"/>
        <v>108551.66676199999</v>
      </c>
      <c r="J121" s="106" t="str">
        <f t="shared" si="2"/>
        <v/>
      </c>
      <c r="K121" s="105"/>
    </row>
    <row r="122" spans="2:11" ht="12.95" customHeight="1" x14ac:dyDescent="0.25">
      <c r="B122" s="45" t="str">
        <f>VLOOKUP(C122,SintéticoNC!$F$4:$G$83,2,FALSE)</f>
        <v>Perpétua Almeida</v>
      </c>
      <c r="C122" s="42" t="s">
        <v>125</v>
      </c>
      <c r="D122" s="23" t="s">
        <v>153</v>
      </c>
      <c r="E122" s="43" t="s">
        <v>6</v>
      </c>
      <c r="F122" s="50"/>
      <c r="G122" s="50">
        <f>I43*ÍndiceCorreçãoNC!$C$5</f>
        <v>0</v>
      </c>
      <c r="H122" s="50">
        <f t="shared" si="0"/>
        <v>0</v>
      </c>
      <c r="I122" s="50">
        <f t="shared" si="1"/>
        <v>416886.73505999998</v>
      </c>
      <c r="J122" s="106" t="str">
        <f t="shared" si="2"/>
        <v/>
      </c>
      <c r="K122" s="105"/>
    </row>
    <row r="123" spans="2:11" ht="12.95" customHeight="1" x14ac:dyDescent="0.25">
      <c r="B123" s="45" t="str">
        <f>VLOOKUP(C123,SintéticoNC!$F$4:$G$83,2,FALSE)</f>
        <v>PRF RO</v>
      </c>
      <c r="C123" s="42" t="s">
        <v>128</v>
      </c>
      <c r="D123" s="23" t="s">
        <v>153</v>
      </c>
      <c r="E123" s="43" t="s">
        <v>6</v>
      </c>
      <c r="F123" s="50"/>
      <c r="G123" s="50">
        <f>I44*ÍndiceCorreçãoNC!$C$5</f>
        <v>0</v>
      </c>
      <c r="H123" s="50">
        <f t="shared" si="0"/>
        <v>0</v>
      </c>
      <c r="I123" s="50">
        <f t="shared" si="1"/>
        <v>46723.537455999998</v>
      </c>
      <c r="J123" s="106" t="str">
        <f t="shared" si="2"/>
        <v/>
      </c>
      <c r="K123" s="105"/>
    </row>
    <row r="124" spans="2:11" ht="12.95" customHeight="1" x14ac:dyDescent="0.25">
      <c r="B124" s="45" t="str">
        <f>VLOOKUP(C124,SintéticoNC!$F$4:$G$83,2,FALSE)</f>
        <v>Senador Confúcio Moura</v>
      </c>
      <c r="C124" s="42" t="s">
        <v>131</v>
      </c>
      <c r="D124" s="23" t="s">
        <v>153</v>
      </c>
      <c r="E124" s="43" t="s">
        <v>6</v>
      </c>
      <c r="F124" s="50"/>
      <c r="G124" s="50">
        <f>I45*ÍndiceCorreçãoNC!$C$5</f>
        <v>0</v>
      </c>
      <c r="H124" s="50">
        <f t="shared" si="0"/>
        <v>0</v>
      </c>
      <c r="I124" s="50">
        <f t="shared" si="1"/>
        <v>345423.16507887124</v>
      </c>
      <c r="J124" s="106" t="str">
        <f t="shared" si="2"/>
        <v/>
      </c>
      <c r="K124" s="105"/>
    </row>
    <row r="125" spans="2:11" ht="12.95" customHeight="1" x14ac:dyDescent="0.25">
      <c r="B125" s="45" t="str">
        <f>VLOOKUP(C125,SintéticoNC!$F$4:$G$83,2,FALSE)</f>
        <v>Sérgio Petecão</v>
      </c>
      <c r="C125" s="42" t="s">
        <v>134</v>
      </c>
      <c r="D125" s="23" t="s">
        <v>153</v>
      </c>
      <c r="E125" s="43" t="s">
        <v>6</v>
      </c>
      <c r="F125" s="50"/>
      <c r="G125" s="50">
        <f>I46*ÍndiceCorreçãoNC!$C$5</f>
        <v>0</v>
      </c>
      <c r="H125" s="50">
        <f t="shared" si="0"/>
        <v>0</v>
      </c>
      <c r="I125" s="50">
        <f t="shared" si="1"/>
        <v>286973.14753094001</v>
      </c>
      <c r="J125" s="106" t="str">
        <f t="shared" si="2"/>
        <v/>
      </c>
      <c r="K125" s="105"/>
    </row>
    <row r="126" spans="2:11" ht="12.95" customHeight="1" x14ac:dyDescent="0.25">
      <c r="B126" s="45" t="str">
        <f>VLOOKUP(C126,SintéticoNC!$F$4:$G$83,2,FALSE)</f>
        <v>Soraya Thronicke</v>
      </c>
      <c r="C126" s="42" t="s">
        <v>137</v>
      </c>
      <c r="D126" s="23" t="s">
        <v>153</v>
      </c>
      <c r="E126" s="43" t="s">
        <v>6</v>
      </c>
      <c r="F126" s="50"/>
      <c r="G126" s="50">
        <f>I47*ÍndiceCorreçãoNC!$C$5</f>
        <v>0</v>
      </c>
      <c r="H126" s="50">
        <f t="shared" si="0"/>
        <v>0</v>
      </c>
      <c r="I126" s="50">
        <f t="shared" si="1"/>
        <v>347405.61255000002</v>
      </c>
      <c r="J126" s="106" t="str">
        <f t="shared" si="2"/>
        <v/>
      </c>
      <c r="K126" s="105"/>
    </row>
    <row r="127" spans="2:11" ht="12.95" customHeight="1" x14ac:dyDescent="0.25">
      <c r="B127" s="45" t="str">
        <f>VLOOKUP(C127,SintéticoNC!$F$4:$G$83,2,FALSE)</f>
        <v>Uldurico Junior</v>
      </c>
      <c r="C127" s="42" t="s">
        <v>140</v>
      </c>
      <c r="D127" s="23" t="s">
        <v>153</v>
      </c>
      <c r="E127" s="43" t="s">
        <v>6</v>
      </c>
      <c r="F127" s="50"/>
      <c r="G127" s="50">
        <f>I48*ÍndiceCorreçãoNC!$C$5</f>
        <v>0</v>
      </c>
      <c r="H127" s="50">
        <f t="shared" si="0"/>
        <v>0</v>
      </c>
      <c r="I127" s="50">
        <f t="shared" si="1"/>
        <v>311154.59211000003</v>
      </c>
      <c r="J127" s="106" t="str">
        <f t="shared" si="2"/>
        <v/>
      </c>
      <c r="K127" s="105"/>
    </row>
    <row r="128" spans="2:11" ht="12.95" customHeight="1" x14ac:dyDescent="0.25">
      <c r="B128" s="45" t="str">
        <f>VLOOKUP(C128,SintéticoNC!$F$4:$G$83,2,FALSE)</f>
        <v>Bancada de Alagoas</v>
      </c>
      <c r="C128" s="42" t="s">
        <v>156</v>
      </c>
      <c r="D128" s="23" t="s">
        <v>216</v>
      </c>
      <c r="E128" s="43" t="s">
        <v>6</v>
      </c>
      <c r="F128" s="50"/>
      <c r="G128" s="50">
        <f>I52*ÍndiceCorreçãoNC!$C$5</f>
        <v>0</v>
      </c>
      <c r="H128" s="50">
        <f t="shared" ref="H128:H145" si="3">IF(I52+G128&gt;F128,F128,I52+G128)</f>
        <v>0</v>
      </c>
      <c r="I128" s="50">
        <f t="shared" ref="I128:I145" si="4">IF(F128&gt;I52+G128,"",I52+G128-F128)</f>
        <v>612239.45632</v>
      </c>
      <c r="J128" s="106" t="str">
        <f t="shared" ref="J128:J145" si="5">IF(I128="",F128-(I52+G128),"")</f>
        <v/>
      </c>
      <c r="K128" s="105"/>
    </row>
    <row r="129" spans="2:11" ht="12.95" customHeight="1" x14ac:dyDescent="0.25">
      <c r="B129" s="45" t="str">
        <f>VLOOKUP(C129,SintéticoNC!$F$4:$G$83,2,FALSE)</f>
        <v>Bancada de Alagoas</v>
      </c>
      <c r="C129" s="42" t="s">
        <v>158</v>
      </c>
      <c r="D129" s="23" t="s">
        <v>216</v>
      </c>
      <c r="E129" s="43" t="s">
        <v>6</v>
      </c>
      <c r="F129" s="50"/>
      <c r="G129" s="50">
        <f>I53*ÍndiceCorreçãoNC!$C$5</f>
        <v>0</v>
      </c>
      <c r="H129" s="50">
        <f t="shared" si="3"/>
        <v>0</v>
      </c>
      <c r="I129" s="50">
        <f t="shared" si="4"/>
        <v>176220.23824999999</v>
      </c>
      <c r="J129" s="106" t="str">
        <f t="shared" si="5"/>
        <v/>
      </c>
      <c r="K129" s="105"/>
    </row>
    <row r="130" spans="2:11" ht="12.95" customHeight="1" x14ac:dyDescent="0.25">
      <c r="B130" s="45" t="str">
        <f>VLOOKUP(C130,SintéticoNC!$F$4:$G$83,2,FALSE)</f>
        <v>Bancada de Alagoas</v>
      </c>
      <c r="C130" s="42" t="s">
        <v>160</v>
      </c>
      <c r="D130" s="23" t="s">
        <v>216</v>
      </c>
      <c r="E130" s="43" t="s">
        <v>6</v>
      </c>
      <c r="F130" s="50"/>
      <c r="G130" s="50">
        <f>I54*ÍndiceCorreçãoNC!$C$5</f>
        <v>0</v>
      </c>
      <c r="H130" s="50">
        <f t="shared" si="3"/>
        <v>0</v>
      </c>
      <c r="I130" s="50">
        <f t="shared" si="4"/>
        <v>755229.59250000003</v>
      </c>
      <c r="J130" s="106" t="str">
        <f t="shared" si="5"/>
        <v/>
      </c>
      <c r="K130" s="105"/>
    </row>
    <row r="131" spans="2:11" ht="12.95" customHeight="1" x14ac:dyDescent="0.25">
      <c r="B131" s="45" t="str">
        <f>VLOOKUP(C131,SintéticoNC!$F$4:$G$83,2,FALSE)</f>
        <v>Bancada de Minas Gerais</v>
      </c>
      <c r="C131" s="42" t="s">
        <v>162</v>
      </c>
      <c r="D131" s="23" t="s">
        <v>216</v>
      </c>
      <c r="E131" s="43" t="s">
        <v>6</v>
      </c>
      <c r="F131" s="50"/>
      <c r="G131" s="50">
        <f>I55*ÍndiceCorreçãoNC!$C$5</f>
        <v>0</v>
      </c>
      <c r="H131" s="50">
        <f t="shared" si="3"/>
        <v>0</v>
      </c>
      <c r="I131" s="50">
        <f t="shared" si="4"/>
        <v>5236258.5080000004</v>
      </c>
      <c r="J131" s="106" t="str">
        <f t="shared" si="5"/>
        <v/>
      </c>
      <c r="K131" s="105"/>
    </row>
    <row r="132" spans="2:11" ht="12.95" customHeight="1" x14ac:dyDescent="0.25">
      <c r="B132" s="45" t="str">
        <f>VLOOKUP(C132,SintéticoNC!$F$4:$G$83,2,FALSE)</f>
        <v>Bancada de São Paulo</v>
      </c>
      <c r="C132" s="42" t="s">
        <v>164</v>
      </c>
      <c r="D132" s="23" t="s">
        <v>216</v>
      </c>
      <c r="E132" s="43" t="s">
        <v>6</v>
      </c>
      <c r="F132" s="50"/>
      <c r="G132" s="50">
        <f>I56*ÍndiceCorreçãoNC!$C$5</f>
        <v>0</v>
      </c>
      <c r="H132" s="50">
        <f t="shared" si="3"/>
        <v>0</v>
      </c>
      <c r="I132" s="50">
        <f t="shared" si="4"/>
        <v>700128.04143119999</v>
      </c>
      <c r="J132" s="106" t="str">
        <f t="shared" si="5"/>
        <v/>
      </c>
      <c r="K132" s="105"/>
    </row>
    <row r="133" spans="2:11" ht="12.95" customHeight="1" x14ac:dyDescent="0.25">
      <c r="B133" s="45" t="str">
        <f>VLOOKUP(C133,SintéticoNC!$F$4:$G$83,2,FALSE)</f>
        <v>Bancada do Espírito Santo</v>
      </c>
      <c r="C133" s="42" t="s">
        <v>166</v>
      </c>
      <c r="D133" s="23" t="s">
        <v>216</v>
      </c>
      <c r="E133" s="43" t="s">
        <v>6</v>
      </c>
      <c r="F133" s="50"/>
      <c r="G133" s="50">
        <f>I57*ÍndiceCorreçãoNC!$C$5</f>
        <v>0</v>
      </c>
      <c r="H133" s="50">
        <f t="shared" si="3"/>
        <v>0</v>
      </c>
      <c r="I133" s="50">
        <f t="shared" si="4"/>
        <v>788459.69457000005</v>
      </c>
      <c r="J133" s="106" t="str">
        <f t="shared" si="5"/>
        <v/>
      </c>
      <c r="K133" s="105"/>
    </row>
    <row r="134" spans="2:11" ht="12.95" customHeight="1" x14ac:dyDescent="0.25">
      <c r="B134" s="45" t="str">
        <f>VLOOKUP(C134,SintéticoNC!$F$4:$G$83,2,FALSE)</f>
        <v>Bancada do Espírito Santo</v>
      </c>
      <c r="C134" s="42" t="s">
        <v>168</v>
      </c>
      <c r="D134" s="23" t="s">
        <v>216</v>
      </c>
      <c r="E134" s="43" t="s">
        <v>6</v>
      </c>
      <c r="F134" s="50"/>
      <c r="G134" s="50">
        <f>I58*ÍndiceCorreçãoNC!$C$5</f>
        <v>0</v>
      </c>
      <c r="H134" s="50">
        <f t="shared" si="3"/>
        <v>0</v>
      </c>
      <c r="I134" s="50">
        <f t="shared" si="4"/>
        <v>846012.20733993209</v>
      </c>
      <c r="J134" s="106" t="str">
        <f t="shared" si="5"/>
        <v/>
      </c>
      <c r="K134" s="105"/>
    </row>
    <row r="135" spans="2:11" ht="12.95" customHeight="1" x14ac:dyDescent="0.25">
      <c r="B135" s="45" t="str">
        <f>VLOOKUP(C135,SintéticoNC!$F$4:$G$83,2,FALSE)</f>
        <v>Bancada do Pará</v>
      </c>
      <c r="C135" s="42" t="s">
        <v>170</v>
      </c>
      <c r="D135" s="23" t="s">
        <v>216</v>
      </c>
      <c r="E135" s="43" t="s">
        <v>6</v>
      </c>
      <c r="F135" s="50"/>
      <c r="G135" s="50">
        <f>I59*ÍndiceCorreçãoNC!$C$5</f>
        <v>0</v>
      </c>
      <c r="H135" s="50">
        <f t="shared" si="3"/>
        <v>0</v>
      </c>
      <c r="I135" s="50">
        <f t="shared" si="4"/>
        <v>185282.99335999999</v>
      </c>
      <c r="J135" s="106" t="str">
        <f t="shared" si="5"/>
        <v/>
      </c>
      <c r="K135" s="105"/>
    </row>
    <row r="136" spans="2:11" ht="12.95" customHeight="1" x14ac:dyDescent="0.25">
      <c r="B136" s="45" t="str">
        <f>VLOOKUP(C136,SintéticoNC!$F$4:$G$83,2,FALSE)</f>
        <v>Bancada do Pará</v>
      </c>
      <c r="C136" s="42" t="s">
        <v>172</v>
      </c>
      <c r="D136" s="23" t="s">
        <v>216</v>
      </c>
      <c r="E136" s="43" t="s">
        <v>6</v>
      </c>
      <c r="F136" s="50"/>
      <c r="G136" s="50">
        <f>I60*ÍndiceCorreçãoNC!$C$5</f>
        <v>0</v>
      </c>
      <c r="H136" s="50">
        <f t="shared" si="3"/>
        <v>0</v>
      </c>
      <c r="I136" s="50">
        <f t="shared" si="4"/>
        <v>314598.4390518</v>
      </c>
      <c r="J136" s="106" t="str">
        <f t="shared" si="5"/>
        <v/>
      </c>
      <c r="K136" s="105"/>
    </row>
    <row r="137" spans="2:11" ht="12.95" customHeight="1" x14ac:dyDescent="0.25">
      <c r="B137" s="45" t="str">
        <f>VLOOKUP(C137,SintéticoNC!$F$4:$G$83,2,FALSE)</f>
        <v>Coronel Chrisóstomo</v>
      </c>
      <c r="C137" s="42" t="s">
        <v>174</v>
      </c>
      <c r="D137" s="23" t="s">
        <v>216</v>
      </c>
      <c r="E137" s="43" t="s">
        <v>6</v>
      </c>
      <c r="F137" s="50"/>
      <c r="G137" s="50">
        <f>I61*ÍndiceCorreçãoNC!$C$5</f>
        <v>0</v>
      </c>
      <c r="H137" s="50">
        <f t="shared" si="3"/>
        <v>0</v>
      </c>
      <c r="I137" s="50">
        <f t="shared" si="4"/>
        <v>61928.826585000003</v>
      </c>
      <c r="J137" s="106" t="str">
        <f t="shared" si="5"/>
        <v/>
      </c>
      <c r="K137" s="105"/>
    </row>
    <row r="138" spans="2:11" ht="12.95" customHeight="1" x14ac:dyDescent="0.25">
      <c r="B138" s="45" t="str">
        <f>VLOOKUP(C138,SintéticoNC!$F$4:$G$83,2,FALSE)</f>
        <v>Dimas Fabiano</v>
      </c>
      <c r="C138" s="42" t="s">
        <v>176</v>
      </c>
      <c r="D138" s="23" t="s">
        <v>216</v>
      </c>
      <c r="E138" s="43" t="s">
        <v>6</v>
      </c>
      <c r="F138" s="50"/>
      <c r="G138" s="50">
        <f>I62*ÍndiceCorreçãoNC!$C$5</f>
        <v>0</v>
      </c>
      <c r="H138" s="50">
        <f t="shared" si="3"/>
        <v>0</v>
      </c>
      <c r="I138" s="50">
        <f t="shared" si="4"/>
        <v>93648.469469999996</v>
      </c>
      <c r="J138" s="106" t="str">
        <f t="shared" si="5"/>
        <v/>
      </c>
      <c r="K138" s="105"/>
    </row>
    <row r="139" spans="2:11" ht="12.95" customHeight="1" x14ac:dyDescent="0.25">
      <c r="B139" s="45" t="str">
        <f>VLOOKUP(C139,SintéticoNC!$F$4:$G$83,2,FALSE)</f>
        <v>Edna Henrique</v>
      </c>
      <c r="C139" s="42" t="s">
        <v>178</v>
      </c>
      <c r="D139" s="23" t="s">
        <v>216</v>
      </c>
      <c r="E139" s="43" t="s">
        <v>6</v>
      </c>
      <c r="F139" s="50"/>
      <c r="G139" s="50">
        <f>I63*ÍndiceCorreçãoNC!$C$5</f>
        <v>0</v>
      </c>
      <c r="H139" s="50">
        <f t="shared" si="3"/>
        <v>0</v>
      </c>
      <c r="I139" s="50">
        <f t="shared" si="4"/>
        <v>92641.496679999997</v>
      </c>
      <c r="J139" s="106" t="str">
        <f t="shared" si="5"/>
        <v/>
      </c>
      <c r="K139" s="105"/>
    </row>
    <row r="140" spans="2:11" ht="12.95" customHeight="1" x14ac:dyDescent="0.25">
      <c r="B140" s="45" t="str">
        <f>VLOOKUP(C140,SintéticoNC!$F$4:$G$83,2,FALSE)</f>
        <v>Fabio Reis</v>
      </c>
      <c r="C140" s="42" t="s">
        <v>180</v>
      </c>
      <c r="D140" s="23" t="s">
        <v>216</v>
      </c>
      <c r="E140" s="43" t="s">
        <v>6</v>
      </c>
      <c r="F140" s="50"/>
      <c r="G140" s="50">
        <f>I64*ÍndiceCorreçãoNC!$C$5</f>
        <v>0</v>
      </c>
      <c r="H140" s="50">
        <f t="shared" si="3"/>
        <v>0</v>
      </c>
      <c r="I140" s="50">
        <f t="shared" si="4"/>
        <v>42172.020445200003</v>
      </c>
      <c r="J140" s="106" t="str">
        <f t="shared" si="5"/>
        <v/>
      </c>
      <c r="K140" s="105"/>
    </row>
    <row r="141" spans="2:11" ht="12.95" customHeight="1" x14ac:dyDescent="0.25">
      <c r="B141" s="45" t="str">
        <f>VLOOKUP(C141,SintéticoNC!$F$4:$G$83,2,FALSE)</f>
        <v>Flavia Arruda</v>
      </c>
      <c r="C141" s="42" t="s">
        <v>182</v>
      </c>
      <c r="D141" s="23" t="s">
        <v>216</v>
      </c>
      <c r="E141" s="43" t="s">
        <v>6</v>
      </c>
      <c r="F141" s="50"/>
      <c r="G141" s="50">
        <f>I65*ÍndiceCorreçãoNC!$C$5</f>
        <v>0</v>
      </c>
      <c r="H141" s="50">
        <f t="shared" si="3"/>
        <v>0</v>
      </c>
      <c r="I141" s="50">
        <f t="shared" si="4"/>
        <v>371113.77991776</v>
      </c>
      <c r="J141" s="106" t="str">
        <f t="shared" si="5"/>
        <v/>
      </c>
      <c r="K141" s="105"/>
    </row>
    <row r="142" spans="2:11" ht="12.95" customHeight="1" x14ac:dyDescent="0.25">
      <c r="B142" s="45" t="str">
        <f>VLOOKUP(C142,SintéticoNC!$F$4:$G$83,2,FALSE)</f>
        <v>General Girão</v>
      </c>
      <c r="C142" s="42" t="s">
        <v>184</v>
      </c>
      <c r="D142" s="23" t="s">
        <v>216</v>
      </c>
      <c r="E142" s="43" t="s">
        <v>6</v>
      </c>
      <c r="F142" s="50"/>
      <c r="G142" s="50">
        <f>I66*ÍndiceCorreçãoNC!$C$5</f>
        <v>0</v>
      </c>
      <c r="H142" s="50">
        <f t="shared" si="3"/>
        <v>0</v>
      </c>
      <c r="I142" s="50">
        <f t="shared" si="4"/>
        <v>93648.469469999996</v>
      </c>
      <c r="J142" s="106" t="str">
        <f t="shared" si="5"/>
        <v/>
      </c>
      <c r="K142" s="105"/>
    </row>
    <row r="143" spans="2:11" ht="12.95" customHeight="1" x14ac:dyDescent="0.25">
      <c r="B143" s="45" t="str">
        <f>VLOOKUP(C143,SintéticoNC!$F$4:$G$83,2,FALSE)</f>
        <v>José Nunes</v>
      </c>
      <c r="C143" s="42" t="s">
        <v>186</v>
      </c>
      <c r="D143" s="23" t="s">
        <v>216</v>
      </c>
      <c r="E143" s="43" t="s">
        <v>6</v>
      </c>
      <c r="F143" s="50"/>
      <c r="G143" s="50">
        <f>I67*ÍndiceCorreçãoNC!$C$5</f>
        <v>0</v>
      </c>
      <c r="H143" s="50">
        <f t="shared" si="3"/>
        <v>0</v>
      </c>
      <c r="I143" s="50">
        <f t="shared" si="4"/>
        <v>93648.469469999996</v>
      </c>
      <c r="J143" s="106" t="str">
        <f t="shared" si="5"/>
        <v/>
      </c>
      <c r="K143" s="105"/>
    </row>
    <row r="144" spans="2:11" ht="12.95" customHeight="1" x14ac:dyDescent="0.25">
      <c r="B144" s="45" t="str">
        <f>VLOOKUP(C144,SintéticoNC!$F$4:$G$83,2,FALSE)</f>
        <v>Josivaldo JP</v>
      </c>
      <c r="C144" s="42" t="s">
        <v>188</v>
      </c>
      <c r="D144" s="23" t="s">
        <v>216</v>
      </c>
      <c r="E144" s="43" t="s">
        <v>6</v>
      </c>
      <c r="F144" s="50"/>
      <c r="G144" s="50">
        <f>I68*ÍndiceCorreçãoNC!$C$5</f>
        <v>0</v>
      </c>
      <c r="H144" s="50">
        <f t="shared" si="3"/>
        <v>0</v>
      </c>
      <c r="I144" s="50">
        <f t="shared" si="4"/>
        <v>48334.693919999998</v>
      </c>
      <c r="J144" s="106" t="str">
        <f t="shared" si="5"/>
        <v/>
      </c>
      <c r="K144" s="105"/>
    </row>
    <row r="145" spans="2:11" ht="12.95" customHeight="1" x14ac:dyDescent="0.25">
      <c r="B145" s="45" t="str">
        <f>VLOOKUP(C145,SintéticoNC!$F$4:$G$83,2,FALSE)</f>
        <v>Junior Lourenço</v>
      </c>
      <c r="C145" s="42" t="s">
        <v>190</v>
      </c>
      <c r="D145" s="23" t="s">
        <v>216</v>
      </c>
      <c r="E145" s="43" t="s">
        <v>6</v>
      </c>
      <c r="F145" s="50"/>
      <c r="G145" s="50">
        <f>I69*ÍndiceCorreçãoNC!$C$5</f>
        <v>0</v>
      </c>
      <c r="H145" s="50">
        <f t="shared" si="3"/>
        <v>0</v>
      </c>
      <c r="I145" s="50">
        <f t="shared" si="4"/>
        <v>156080.78245</v>
      </c>
      <c r="J145" s="106" t="str">
        <f t="shared" si="5"/>
        <v/>
      </c>
      <c r="K145" s="105"/>
    </row>
    <row r="146" spans="2:11" ht="12.95" customHeight="1" x14ac:dyDescent="0.25">
      <c r="B146" s="45" t="str">
        <f>VLOOKUP(C146,SintéticoNC!$F$4:$G$83,2,FALSE)</f>
        <v>Leo de Brito</v>
      </c>
      <c r="C146" s="42" t="s">
        <v>192</v>
      </c>
      <c r="D146" s="23" t="s">
        <v>216</v>
      </c>
      <c r="E146" s="43" t="s">
        <v>6</v>
      </c>
      <c r="F146" s="50"/>
      <c r="G146" s="50">
        <f>I70*ÍndiceCorreçãoNC!$C$5</f>
        <v>0</v>
      </c>
      <c r="H146" s="50">
        <f t="shared" ref="H146:H209" si="6">IF(I70+G146&gt;F146,F146,I70+G146)</f>
        <v>0</v>
      </c>
      <c r="I146" s="50">
        <f t="shared" ref="I146:I209" si="7">IF(F146&gt;I70+G146,"",I70+G146-F146)</f>
        <v>171185.3743</v>
      </c>
      <c r="J146" s="106" t="str">
        <f t="shared" ref="J146:J209" si="8">IF(I146="",F146-(I70+G146),"")</f>
        <v/>
      </c>
      <c r="K146" s="105"/>
    </row>
    <row r="147" spans="2:11" ht="12.95" customHeight="1" x14ac:dyDescent="0.25">
      <c r="B147" s="45" t="str">
        <f>VLOOKUP(C147,SintéticoNC!$F$4:$G$83,2,FALSE)</f>
        <v>Luciano Bivar</v>
      </c>
      <c r="C147" s="42" t="s">
        <v>194</v>
      </c>
      <c r="D147" s="23" t="s">
        <v>216</v>
      </c>
      <c r="E147" s="43" t="s">
        <v>6</v>
      </c>
      <c r="F147" s="50"/>
      <c r="G147" s="50">
        <f>I71*ÍndiceCorreçãoNC!$C$5</f>
        <v>0</v>
      </c>
      <c r="H147" s="50">
        <f t="shared" si="6"/>
        <v>0</v>
      </c>
      <c r="I147" s="50">
        <f t="shared" si="7"/>
        <v>93648.469469999996</v>
      </c>
      <c r="J147" s="106" t="str">
        <f t="shared" si="8"/>
        <v/>
      </c>
      <c r="K147" s="105"/>
    </row>
    <row r="148" spans="2:11" ht="12.95" customHeight="1" x14ac:dyDescent="0.25">
      <c r="B148" s="45" t="str">
        <f>VLOOKUP(C148,SintéticoNC!$F$4:$G$83,2,FALSE)</f>
        <v>Luis Tibé</v>
      </c>
      <c r="C148" s="42" t="s">
        <v>196</v>
      </c>
      <c r="D148" s="23" t="s">
        <v>216</v>
      </c>
      <c r="E148" s="43" t="s">
        <v>6</v>
      </c>
      <c r="F148" s="50"/>
      <c r="G148" s="50">
        <f>I72*ÍndiceCorreçãoNC!$C$5</f>
        <v>0</v>
      </c>
      <c r="H148" s="50">
        <f t="shared" si="6"/>
        <v>0</v>
      </c>
      <c r="I148" s="50">
        <f t="shared" si="7"/>
        <v>93648.469469999996</v>
      </c>
      <c r="J148" s="106" t="str">
        <f t="shared" si="8"/>
        <v/>
      </c>
      <c r="K148" s="105"/>
    </row>
    <row r="149" spans="2:11" ht="12.95" customHeight="1" x14ac:dyDescent="0.25">
      <c r="B149" s="45" t="str">
        <f>VLOOKUP(C149,SintéticoNC!$F$4:$G$83,2,FALSE)</f>
        <v>Mara Rocha</v>
      </c>
      <c r="C149" s="42" t="s">
        <v>198</v>
      </c>
      <c r="D149" s="23" t="s">
        <v>216</v>
      </c>
      <c r="E149" s="43" t="s">
        <v>6</v>
      </c>
      <c r="F149" s="50"/>
      <c r="G149" s="50">
        <f>I73*ÍndiceCorreçãoNC!$C$5</f>
        <v>0</v>
      </c>
      <c r="H149" s="50">
        <f t="shared" si="6"/>
        <v>0</v>
      </c>
      <c r="I149" s="50">
        <f t="shared" si="7"/>
        <v>171185.3743</v>
      </c>
      <c r="J149" s="106" t="str">
        <f t="shared" si="8"/>
        <v/>
      </c>
      <c r="K149" s="105"/>
    </row>
    <row r="150" spans="2:11" ht="12.95" customHeight="1" x14ac:dyDescent="0.25">
      <c r="B150" s="45" t="str">
        <f>VLOOKUP(C150,SintéticoNC!$F$4:$G$83,2,FALSE)</f>
        <v>Marx Beltrão</v>
      </c>
      <c r="C150" s="42" t="s">
        <v>200</v>
      </c>
      <c r="D150" s="23" t="s">
        <v>216</v>
      </c>
      <c r="E150" s="43" t="s">
        <v>6</v>
      </c>
      <c r="F150" s="50"/>
      <c r="G150" s="50">
        <f>I74*ÍndiceCorreçãoNC!$C$5</f>
        <v>0</v>
      </c>
      <c r="H150" s="50">
        <f t="shared" si="6"/>
        <v>0</v>
      </c>
      <c r="I150" s="50">
        <f t="shared" si="7"/>
        <v>93648.469469999996</v>
      </c>
      <c r="J150" s="106" t="str">
        <f t="shared" si="8"/>
        <v/>
      </c>
      <c r="K150" s="105"/>
    </row>
    <row r="151" spans="2:11" ht="12.95" customHeight="1" x14ac:dyDescent="0.25">
      <c r="B151" s="45" t="str">
        <f>VLOOKUP(C151,SintéticoNC!$F$4:$G$83,2,FALSE)</f>
        <v>Perpétua Almeida</v>
      </c>
      <c r="C151" s="42" t="s">
        <v>202</v>
      </c>
      <c r="D151" s="23" t="s">
        <v>216</v>
      </c>
      <c r="E151" s="43" t="s">
        <v>6</v>
      </c>
      <c r="F151" s="50"/>
      <c r="G151" s="50">
        <f>I75*ÍndiceCorreçãoNC!$C$5</f>
        <v>0</v>
      </c>
      <c r="H151" s="50">
        <f t="shared" si="6"/>
        <v>0</v>
      </c>
      <c r="I151" s="50">
        <f t="shared" si="7"/>
        <v>194341.72057884</v>
      </c>
      <c r="J151" s="106" t="str">
        <f t="shared" si="8"/>
        <v/>
      </c>
      <c r="K151" s="105"/>
    </row>
    <row r="152" spans="2:11" ht="12.95" customHeight="1" x14ac:dyDescent="0.25">
      <c r="B152" s="45" t="str">
        <f>VLOOKUP(C152,SintéticoNC!$F$4:$G$83,2,FALSE)</f>
        <v>Sérgio Petecão</v>
      </c>
      <c r="C152" s="42" t="s">
        <v>204</v>
      </c>
      <c r="D152" s="23" t="s">
        <v>216</v>
      </c>
      <c r="E152" s="43" t="s">
        <v>6</v>
      </c>
      <c r="F152" s="50"/>
      <c r="G152" s="50">
        <f>I76*ÍndiceCorreçãoNC!$C$5</f>
        <v>0</v>
      </c>
      <c r="H152" s="50">
        <f t="shared" si="6"/>
        <v>0</v>
      </c>
      <c r="I152" s="50">
        <f t="shared" si="7"/>
        <v>133538.68957305999</v>
      </c>
      <c r="J152" s="106" t="str">
        <f t="shared" si="8"/>
        <v/>
      </c>
      <c r="K152" s="105"/>
    </row>
    <row r="153" spans="2:11" ht="12.95" customHeight="1" x14ac:dyDescent="0.25">
      <c r="B153" s="45" t="str">
        <f>VLOOKUP(C153,SintéticoNC!$F$4:$G$83,2,FALSE)</f>
        <v>Uldurico Junior</v>
      </c>
      <c r="C153" s="42" t="s">
        <v>206</v>
      </c>
      <c r="D153" s="23" t="s">
        <v>216</v>
      </c>
      <c r="E153" s="43" t="s">
        <v>6</v>
      </c>
      <c r="F153" s="50"/>
      <c r="G153" s="50">
        <f>I77*ÍndiceCorreçãoNC!$C$5</f>
        <v>0</v>
      </c>
      <c r="H153" s="50">
        <f t="shared" si="6"/>
        <v>0</v>
      </c>
      <c r="I153" s="50">
        <f t="shared" si="7"/>
        <v>141983.16339</v>
      </c>
      <c r="J153" s="106" t="str">
        <f t="shared" si="8"/>
        <v/>
      </c>
      <c r="K153" s="105"/>
    </row>
    <row r="154" spans="2:11" ht="12.95" customHeight="1" x14ac:dyDescent="0.25">
      <c r="B154" s="45" t="str">
        <f>VLOOKUP(C154,SintéticoNC!$F$4:$G$83,2,FALSE)</f>
        <v>Soraya Thronicke</v>
      </c>
      <c r="C154" s="42" t="s">
        <v>208</v>
      </c>
      <c r="D154" s="23" t="s">
        <v>216</v>
      </c>
      <c r="E154" s="43" t="s">
        <v>6</v>
      </c>
      <c r="F154" s="50"/>
      <c r="G154" s="50">
        <f>I78*ÍndiceCorreçãoNC!$C$5</f>
        <v>0</v>
      </c>
      <c r="H154" s="50">
        <f t="shared" si="6"/>
        <v>0</v>
      </c>
      <c r="I154" s="50">
        <f t="shared" si="7"/>
        <v>156080.78245</v>
      </c>
      <c r="J154" s="106" t="str">
        <f t="shared" si="8"/>
        <v/>
      </c>
      <c r="K154" s="105"/>
    </row>
    <row r="155" spans="2:11" ht="12.95" customHeight="1" x14ac:dyDescent="0.25">
      <c r="B155" s="45" t="str">
        <f>VLOOKUP(C155,SintéticoNC!$F$4:$G$83,2,FALSE)</f>
        <v>MCom</v>
      </c>
      <c r="C155" s="42" t="s">
        <v>211</v>
      </c>
      <c r="D155" s="23" t="s">
        <v>216</v>
      </c>
      <c r="E155" s="43" t="s">
        <v>6</v>
      </c>
      <c r="F155" s="50"/>
      <c r="G155" s="50">
        <f>I79*ÍndiceCorreçãoNC!$C$5</f>
        <v>0</v>
      </c>
      <c r="H155" s="50">
        <f t="shared" si="6"/>
        <v>0</v>
      </c>
      <c r="I155" s="50">
        <f t="shared" si="7"/>
        <v>503486.39500000002</v>
      </c>
      <c r="J155" s="106" t="str">
        <f t="shared" si="8"/>
        <v/>
      </c>
      <c r="K155" s="105"/>
    </row>
    <row r="156" spans="2:11" ht="12.95" customHeight="1" x14ac:dyDescent="0.25">
      <c r="B156" s="45" t="str">
        <f>VLOOKUP(C156,SintéticoNC!$F$4:$G$83,2,FALSE)</f>
        <v>Cabo Junio Amaral</v>
      </c>
      <c r="C156" s="42" t="s">
        <v>213</v>
      </c>
      <c r="D156" s="23" t="s">
        <v>216</v>
      </c>
      <c r="E156" s="43" t="s">
        <v>6</v>
      </c>
      <c r="F156" s="50"/>
      <c r="G156" s="50">
        <f>I80*ÍndiceCorreçãoNC!$C$5</f>
        <v>0</v>
      </c>
      <c r="H156" s="50">
        <f t="shared" si="6"/>
        <v>0</v>
      </c>
      <c r="I156" s="50">
        <f t="shared" si="7"/>
        <v>93648.469469999996</v>
      </c>
      <c r="J156" s="106" t="str">
        <f t="shared" si="8"/>
        <v/>
      </c>
      <c r="K156" s="105"/>
    </row>
    <row r="157" spans="2:11" ht="12.95" customHeight="1" x14ac:dyDescent="0.25">
      <c r="B157" s="45" t="str">
        <f>VLOOKUP(C157,SintéticoNC!$F$4:$G$83,2,FALSE)</f>
        <v>Leur Lomanto</v>
      </c>
      <c r="C157" s="42" t="s">
        <v>215</v>
      </c>
      <c r="D157" s="23" t="s">
        <v>216</v>
      </c>
      <c r="E157" s="43" t="s">
        <v>6</v>
      </c>
      <c r="F157" s="50"/>
      <c r="G157" s="50">
        <f>I81*ÍndiceCorreçãoNC!$C$5</f>
        <v>0</v>
      </c>
      <c r="H157" s="50">
        <f t="shared" si="6"/>
        <v>0</v>
      </c>
      <c r="I157" s="50">
        <f t="shared" si="7"/>
        <v>28195.238120000002</v>
      </c>
      <c r="J157" s="106" t="str">
        <f t="shared" si="8"/>
        <v/>
      </c>
      <c r="K157" s="105"/>
    </row>
    <row r="158" spans="2:11" ht="12.95" customHeight="1" x14ac:dyDescent="0.25">
      <c r="B158" s="45" t="str">
        <f>VLOOKUP(C158,SintéticoNC!$F$4:$G$83,2,FALSE)</f>
        <v>Bancada de Alagoas</v>
      </c>
      <c r="C158" s="42" t="s">
        <v>141</v>
      </c>
      <c r="D158" s="23" t="s">
        <v>153</v>
      </c>
      <c r="E158" s="43" t="s">
        <v>7</v>
      </c>
      <c r="F158" s="50"/>
      <c r="G158" s="50">
        <f>I82*ÍndiceCorreçãoNC!$C$6</f>
        <v>0</v>
      </c>
      <c r="H158" s="50">
        <f t="shared" si="6"/>
        <v>0</v>
      </c>
      <c r="I158" s="50">
        <f t="shared" si="7"/>
        <v>1814033.9908278328</v>
      </c>
      <c r="J158" s="106" t="str">
        <f t="shared" si="8"/>
        <v/>
      </c>
      <c r="K158" s="105"/>
    </row>
    <row r="159" spans="2:11" ht="12.95" customHeight="1" x14ac:dyDescent="0.25">
      <c r="B159" s="45" t="str">
        <f>VLOOKUP(C159,SintéticoNC!$F$4:$G$83,2,FALSE)</f>
        <v>Bancada de Alagoas</v>
      </c>
      <c r="C159" s="42" t="s">
        <v>142</v>
      </c>
      <c r="D159" s="23" t="s">
        <v>153</v>
      </c>
      <c r="E159" s="43" t="s">
        <v>7</v>
      </c>
      <c r="F159" s="50"/>
      <c r="G159" s="50">
        <f>I83*ÍndiceCorreçãoNC!$C$6</f>
        <v>0</v>
      </c>
      <c r="H159" s="50">
        <f t="shared" si="6"/>
        <v>0</v>
      </c>
      <c r="I159" s="50">
        <f t="shared" si="7"/>
        <v>528056.53107599996</v>
      </c>
      <c r="J159" s="106" t="str">
        <f t="shared" si="8"/>
        <v/>
      </c>
      <c r="K159" s="105"/>
    </row>
    <row r="160" spans="2:11" ht="12.95" customHeight="1" x14ac:dyDescent="0.25">
      <c r="B160" s="45" t="str">
        <f>VLOOKUP(C160,SintéticoNC!$F$4:$G$83,2,FALSE)</f>
        <v>Bancada de Alagoas</v>
      </c>
      <c r="C160" s="42" t="s">
        <v>143</v>
      </c>
      <c r="D160" s="23" t="s">
        <v>153</v>
      </c>
      <c r="E160" s="43" t="s">
        <v>7</v>
      </c>
      <c r="F160" s="50"/>
      <c r="G160" s="50">
        <f>I84*ÍndiceCorreçãoNC!$C$6</f>
        <v>0</v>
      </c>
      <c r="H160" s="50">
        <f t="shared" si="6"/>
        <v>0</v>
      </c>
      <c r="I160" s="50">
        <f t="shared" si="7"/>
        <v>5262250.4896554798</v>
      </c>
      <c r="J160" s="106" t="str">
        <f t="shared" si="8"/>
        <v/>
      </c>
      <c r="K160" s="105"/>
    </row>
    <row r="161" spans="2:11" ht="12.95" customHeight="1" x14ac:dyDescent="0.25">
      <c r="B161" s="45" t="str">
        <f>VLOOKUP(C161,SintéticoNC!$F$4:$G$83,2,FALSE)</f>
        <v>Bancada de Minas Gerais</v>
      </c>
      <c r="C161" s="42" t="s">
        <v>144</v>
      </c>
      <c r="D161" s="23" t="s">
        <v>153</v>
      </c>
      <c r="E161" s="43" t="s">
        <v>7</v>
      </c>
      <c r="F161" s="50"/>
      <c r="G161" s="50">
        <f>I85*ÍndiceCorreçãoNC!$C$6</f>
        <v>0</v>
      </c>
      <c r="H161" s="50">
        <f t="shared" si="6"/>
        <v>0</v>
      </c>
      <c r="I161" s="50">
        <f t="shared" si="7"/>
        <v>13370850.949225677</v>
      </c>
      <c r="J161" s="106" t="str">
        <f t="shared" si="8"/>
        <v/>
      </c>
      <c r="K161" s="105"/>
    </row>
    <row r="162" spans="2:11" ht="12.95" customHeight="1" x14ac:dyDescent="0.25">
      <c r="B162" s="45" t="str">
        <f>VLOOKUP(C162,SintéticoNC!$F$4:$G$83,2,FALSE)</f>
        <v>Bancada de São Paulo</v>
      </c>
      <c r="C162" s="42" t="s">
        <v>145</v>
      </c>
      <c r="D162" s="23" t="s">
        <v>153</v>
      </c>
      <c r="E162" s="43" t="s">
        <v>7</v>
      </c>
      <c r="F162" s="50"/>
      <c r="G162" s="50">
        <f>I86*ÍndiceCorreçãoNC!$C$6</f>
        <v>0</v>
      </c>
      <c r="H162" s="50">
        <f t="shared" si="6"/>
        <v>0</v>
      </c>
      <c r="I162" s="50">
        <f t="shared" si="7"/>
        <v>1555533.3010259799</v>
      </c>
      <c r="J162" s="106" t="str">
        <f t="shared" si="8"/>
        <v/>
      </c>
      <c r="K162" s="105"/>
    </row>
    <row r="163" spans="2:11" ht="12.95" customHeight="1" x14ac:dyDescent="0.25">
      <c r="B163" s="45" t="str">
        <f>VLOOKUP(C163,SintéticoNC!$F$4:$G$83,2,FALSE)</f>
        <v>Bancada do Espírito Santo</v>
      </c>
      <c r="C163" s="42" t="s">
        <v>146</v>
      </c>
      <c r="D163" s="23" t="s">
        <v>153</v>
      </c>
      <c r="E163" s="43" t="s">
        <v>7</v>
      </c>
      <c r="F163" s="50"/>
      <c r="G163" s="50">
        <f>I87*ÍndiceCorreçãoNC!$C$6</f>
        <v>0</v>
      </c>
      <c r="H163" s="50">
        <f t="shared" si="6"/>
        <v>0</v>
      </c>
      <c r="I163" s="50">
        <f t="shared" si="7"/>
        <v>1420853.1473770875</v>
      </c>
      <c r="J163" s="106" t="str">
        <f t="shared" si="8"/>
        <v/>
      </c>
      <c r="K163" s="105"/>
    </row>
    <row r="164" spans="2:11" ht="12.95" customHeight="1" x14ac:dyDescent="0.25">
      <c r="B164" s="45" t="str">
        <f>VLOOKUP(C164,SintéticoNC!$F$4:$G$83,2,FALSE)</f>
        <v>Bancada do Espírito Santo</v>
      </c>
      <c r="C164" s="42" t="s">
        <v>147</v>
      </c>
      <c r="D164" s="23" t="s">
        <v>153</v>
      </c>
      <c r="E164" s="43" t="s">
        <v>7</v>
      </c>
      <c r="F164" s="50"/>
      <c r="G164" s="50">
        <f>I88*ÍndiceCorreçãoNC!$C$6</f>
        <v>0</v>
      </c>
      <c r="H164" s="50">
        <f t="shared" si="6"/>
        <v>0</v>
      </c>
      <c r="I164" s="50">
        <f t="shared" si="7"/>
        <v>2260653.9135500002</v>
      </c>
      <c r="J164" s="106" t="str">
        <f t="shared" si="8"/>
        <v/>
      </c>
      <c r="K164" s="105"/>
    </row>
    <row r="165" spans="2:11" ht="12.95" customHeight="1" x14ac:dyDescent="0.25">
      <c r="B165" s="45" t="str">
        <f>VLOOKUP(C165,SintéticoNC!$F$4:$G$83,2,FALSE)</f>
        <v>Bancada do Espírito Santo</v>
      </c>
      <c r="C165" s="42" t="s">
        <v>148</v>
      </c>
      <c r="D165" s="23" t="s">
        <v>153</v>
      </c>
      <c r="E165" s="43" t="s">
        <v>7</v>
      </c>
      <c r="F165" s="50"/>
      <c r="G165" s="50">
        <f>I89*ÍndiceCorreçãoNC!$C$6</f>
        <v>0</v>
      </c>
      <c r="H165" s="50">
        <f t="shared" si="6"/>
        <v>0</v>
      </c>
      <c r="I165" s="50">
        <f t="shared" si="7"/>
        <v>2771189.1180799999</v>
      </c>
      <c r="J165" s="106" t="str">
        <f t="shared" si="8"/>
        <v/>
      </c>
      <c r="K165" s="105"/>
    </row>
    <row r="166" spans="2:11" ht="12.95" customHeight="1" x14ac:dyDescent="0.25">
      <c r="B166" s="45" t="str">
        <f>VLOOKUP(C166,SintéticoNC!$F$4:$G$83,2,FALSE)</f>
        <v>Bancada do Maranhão</v>
      </c>
      <c r="C166" s="42" t="s">
        <v>149</v>
      </c>
      <c r="D166" s="23" t="s">
        <v>153</v>
      </c>
      <c r="E166" s="43" t="s">
        <v>7</v>
      </c>
      <c r="F166" s="50"/>
      <c r="G166" s="50">
        <f>I90*ÍndiceCorreçãoNC!$C$6</f>
        <v>0</v>
      </c>
      <c r="H166" s="50">
        <f t="shared" si="6"/>
        <v>0</v>
      </c>
      <c r="I166" s="50">
        <f t="shared" si="7"/>
        <v>755229.59250000003</v>
      </c>
      <c r="J166" s="106" t="str">
        <f t="shared" si="8"/>
        <v/>
      </c>
      <c r="K166" s="105"/>
    </row>
    <row r="167" spans="2:11" ht="12.95" customHeight="1" x14ac:dyDescent="0.25">
      <c r="B167" s="45" t="str">
        <f>VLOOKUP(C167,SintéticoNC!$F$4:$G$83,2,FALSE)</f>
        <v>Bancada do Pará</v>
      </c>
      <c r="C167" s="42" t="s">
        <v>152</v>
      </c>
      <c r="D167" s="23" t="s">
        <v>153</v>
      </c>
      <c r="E167" s="43" t="s">
        <v>7</v>
      </c>
      <c r="F167" s="50"/>
      <c r="G167" s="50">
        <f>I91*ÍndiceCorreçãoNC!$C$6</f>
        <v>0</v>
      </c>
      <c r="H167" s="50">
        <f t="shared" si="6"/>
        <v>0</v>
      </c>
      <c r="I167" s="50">
        <f t="shared" si="7"/>
        <v>493416.66710000002</v>
      </c>
      <c r="J167" s="106" t="str">
        <f t="shared" si="8"/>
        <v/>
      </c>
      <c r="K167" s="105"/>
    </row>
    <row r="168" spans="2:11" ht="12.95" customHeight="1" x14ac:dyDescent="0.25">
      <c r="B168" s="45" t="str">
        <f>VLOOKUP(C168,SintéticoNC!$F$4:$G$83,2,FALSE)</f>
        <v>Bancada do Pará</v>
      </c>
      <c r="C168" s="42" t="s">
        <v>151</v>
      </c>
      <c r="D168" s="23" t="s">
        <v>153</v>
      </c>
      <c r="E168" s="43" t="s">
        <v>7</v>
      </c>
      <c r="F168" s="50"/>
      <c r="G168" s="50">
        <f>I92*ÍndiceCorreçãoNC!$C$6</f>
        <v>0</v>
      </c>
      <c r="H168" s="50">
        <f t="shared" si="6"/>
        <v>0</v>
      </c>
      <c r="I168" s="50">
        <f t="shared" si="7"/>
        <v>837197.17760599998</v>
      </c>
      <c r="J168" s="106" t="str">
        <f t="shared" si="8"/>
        <v/>
      </c>
      <c r="K168" s="105"/>
    </row>
    <row r="169" spans="2:11" ht="12.95" customHeight="1" x14ac:dyDescent="0.25">
      <c r="B169" s="45" t="str">
        <f>VLOOKUP(C169,SintéticoNC!$F$4:$G$83,2,FALSE)</f>
        <v>Cabo Junio Amaral</v>
      </c>
      <c r="C169" s="42" t="s">
        <v>150</v>
      </c>
      <c r="D169" s="23" t="s">
        <v>153</v>
      </c>
      <c r="E169" s="43" t="s">
        <v>7</v>
      </c>
      <c r="F169" s="50"/>
      <c r="G169" s="50">
        <f>I93*ÍndiceCorreçãoNC!$C$6</f>
        <v>0</v>
      </c>
      <c r="H169" s="50">
        <f t="shared" si="6"/>
        <v>0</v>
      </c>
      <c r="I169" s="50">
        <f t="shared" si="7"/>
        <v>208443.36752999999</v>
      </c>
      <c r="J169" s="106" t="str">
        <f t="shared" si="8"/>
        <v/>
      </c>
      <c r="K169" s="105"/>
    </row>
    <row r="170" spans="2:11" ht="12.95" customHeight="1" x14ac:dyDescent="0.25">
      <c r="B170" s="45" t="str">
        <f>VLOOKUP(C170,SintéticoNC!$F$4:$G$83,2,FALSE)</f>
        <v>Celso Sabino</v>
      </c>
      <c r="C170" s="42" t="s">
        <v>44</v>
      </c>
      <c r="D170" s="23" t="s">
        <v>153</v>
      </c>
      <c r="E170" s="43" t="s">
        <v>7</v>
      </c>
      <c r="F170" s="50"/>
      <c r="G170" s="50">
        <f>I94*ÍndiceCorreçãoNC!$C$6</f>
        <v>0</v>
      </c>
      <c r="H170" s="50">
        <f t="shared" si="6"/>
        <v>0</v>
      </c>
      <c r="I170" s="50">
        <f t="shared" si="7"/>
        <v>97875.449220310911</v>
      </c>
      <c r="J170" s="106" t="str">
        <f t="shared" si="8"/>
        <v/>
      </c>
      <c r="K170" s="105"/>
    </row>
    <row r="171" spans="2:11" ht="12.95" customHeight="1" x14ac:dyDescent="0.25">
      <c r="B171" s="45" t="str">
        <f>VLOOKUP(C171,SintéticoNC!$F$4:$G$83,2,FALSE)</f>
        <v>Coronel Chrisóstomo</v>
      </c>
      <c r="C171" s="42" t="s">
        <v>47</v>
      </c>
      <c r="D171" s="23" t="s">
        <v>153</v>
      </c>
      <c r="E171" s="43" t="s">
        <v>7</v>
      </c>
      <c r="F171" s="50"/>
      <c r="G171" s="50">
        <f>I95*ÍndiceCorreçãoNC!$C$6</f>
        <v>0</v>
      </c>
      <c r="H171" s="50">
        <f t="shared" si="6"/>
        <v>0</v>
      </c>
      <c r="I171" s="50">
        <f t="shared" si="7"/>
        <v>139465.73141499999</v>
      </c>
      <c r="J171" s="106" t="str">
        <f t="shared" si="8"/>
        <v/>
      </c>
      <c r="K171" s="105"/>
    </row>
    <row r="172" spans="2:11" ht="12.95" customHeight="1" x14ac:dyDescent="0.25">
      <c r="B172" s="45" t="str">
        <f>VLOOKUP(C172,SintéticoNC!$F$4:$G$83,2,FALSE)</f>
        <v>Dimas Fabiano</v>
      </c>
      <c r="C172" s="42" t="s">
        <v>50</v>
      </c>
      <c r="D172" s="23" t="s">
        <v>153</v>
      </c>
      <c r="E172" s="43" t="s">
        <v>7</v>
      </c>
      <c r="F172" s="50"/>
      <c r="G172" s="50">
        <f>I96*ÍndiceCorreçãoNC!$C$6</f>
        <v>0</v>
      </c>
      <c r="H172" s="50">
        <f t="shared" si="6"/>
        <v>0</v>
      </c>
      <c r="I172" s="50">
        <f t="shared" si="7"/>
        <v>208443.36752999999</v>
      </c>
      <c r="J172" s="106" t="str">
        <f t="shared" si="8"/>
        <v/>
      </c>
      <c r="K172" s="105"/>
    </row>
    <row r="173" spans="2:11" ht="12.95" customHeight="1" x14ac:dyDescent="0.25">
      <c r="B173" s="45" t="str">
        <f>VLOOKUP(C173,SintéticoNC!$F$4:$G$83,2,FALSE)</f>
        <v>Edna Henrique</v>
      </c>
      <c r="C173" s="42" t="s">
        <v>53</v>
      </c>
      <c r="D173" s="23" t="s">
        <v>153</v>
      </c>
      <c r="E173" s="43" t="s">
        <v>7</v>
      </c>
      <c r="F173" s="50"/>
      <c r="G173" s="50">
        <f>I97*ÍndiceCorreçãoNC!$C$6</f>
        <v>0</v>
      </c>
      <c r="H173" s="50">
        <f t="shared" si="6"/>
        <v>0</v>
      </c>
      <c r="I173" s="50">
        <f t="shared" si="7"/>
        <v>209450.34031999999</v>
      </c>
      <c r="J173" s="106" t="str">
        <f t="shared" si="8"/>
        <v/>
      </c>
      <c r="K173" s="105"/>
    </row>
    <row r="174" spans="2:11" ht="12.95" customHeight="1" x14ac:dyDescent="0.25">
      <c r="B174" s="45" t="str">
        <f>VLOOKUP(C174,SintéticoNC!$F$4:$G$83,2,FALSE)</f>
        <v>Elias Vaz</v>
      </c>
      <c r="C174" s="42" t="s">
        <v>56</v>
      </c>
      <c r="D174" s="23" t="s">
        <v>153</v>
      </c>
      <c r="E174" s="43" t="s">
        <v>7</v>
      </c>
      <c r="F174" s="50"/>
      <c r="G174" s="50">
        <f>I98*ÍndiceCorreçãoNC!$C$6</f>
        <v>0</v>
      </c>
      <c r="H174" s="50">
        <f t="shared" si="6"/>
        <v>0</v>
      </c>
      <c r="I174" s="50">
        <f t="shared" si="7"/>
        <v>402789.11599999998</v>
      </c>
      <c r="J174" s="106" t="str">
        <f t="shared" si="8"/>
        <v/>
      </c>
      <c r="K174" s="105"/>
    </row>
    <row r="175" spans="2:11" ht="12.95" customHeight="1" x14ac:dyDescent="0.25">
      <c r="B175" s="45" t="str">
        <f>VLOOKUP(C175,SintéticoNC!$F$4:$G$83,2,FALSE)</f>
        <v>Expedito Netto</v>
      </c>
      <c r="C175" s="42" t="s">
        <v>59</v>
      </c>
      <c r="D175" s="23" t="s">
        <v>153</v>
      </c>
      <c r="E175" s="43" t="s">
        <v>7</v>
      </c>
      <c r="F175" s="50"/>
      <c r="G175" s="50">
        <f>I99*ÍndiceCorreçãoNC!$C$6</f>
        <v>0</v>
      </c>
      <c r="H175" s="50">
        <f t="shared" si="6"/>
        <v>0</v>
      </c>
      <c r="I175" s="50">
        <f t="shared" si="7"/>
        <v>283300.95943927957</v>
      </c>
      <c r="J175" s="106" t="str">
        <f t="shared" si="8"/>
        <v/>
      </c>
      <c r="K175" s="105"/>
    </row>
    <row r="176" spans="2:11" ht="12.95" customHeight="1" x14ac:dyDescent="0.25">
      <c r="B176" s="45" t="str">
        <f>VLOOKUP(C176,SintéticoNC!$F$4:$G$83,2,FALSE)</f>
        <v>Fabio Reis</v>
      </c>
      <c r="C176" s="42" t="s">
        <v>62</v>
      </c>
      <c r="D176" s="23" t="s">
        <v>153</v>
      </c>
      <c r="E176" s="43" t="s">
        <v>7</v>
      </c>
      <c r="F176" s="50"/>
      <c r="G176" s="50">
        <f>I100*ÍndiceCorreçãoNC!$C$6</f>
        <v>0</v>
      </c>
      <c r="H176" s="50">
        <f t="shared" si="6"/>
        <v>0</v>
      </c>
      <c r="I176" s="50">
        <f t="shared" si="7"/>
        <v>82156.865781336295</v>
      </c>
      <c r="J176" s="106" t="str">
        <f t="shared" si="8"/>
        <v/>
      </c>
      <c r="K176" s="105"/>
    </row>
    <row r="177" spans="2:11" ht="12.95" customHeight="1" x14ac:dyDescent="0.25">
      <c r="B177" s="45" t="str">
        <f>VLOOKUP(C177,SintéticoNC!$F$4:$G$83,2,FALSE)</f>
        <v>Flavia Arruda</v>
      </c>
      <c r="C177" s="42" t="s">
        <v>65</v>
      </c>
      <c r="D177" s="23" t="s">
        <v>153</v>
      </c>
      <c r="E177" s="43" t="s">
        <v>7</v>
      </c>
      <c r="F177" s="50"/>
      <c r="G177" s="50">
        <f>I101*ÍndiceCorreçãoNC!$C$6</f>
        <v>0</v>
      </c>
      <c r="H177" s="50">
        <f t="shared" si="6"/>
        <v>0</v>
      </c>
      <c r="I177" s="50">
        <f t="shared" si="7"/>
        <v>887563.63045465504</v>
      </c>
      <c r="J177" s="106" t="str">
        <f t="shared" si="8"/>
        <v/>
      </c>
      <c r="K177" s="105"/>
    </row>
    <row r="178" spans="2:11" ht="12.95" customHeight="1" x14ac:dyDescent="0.25">
      <c r="B178" s="45" t="str">
        <f>VLOOKUP(C178,SintéticoNC!$F$4:$G$83,2,FALSE)</f>
        <v>Flaviano Melo</v>
      </c>
      <c r="C178" s="42" t="s">
        <v>68</v>
      </c>
      <c r="D178" s="23" t="s">
        <v>153</v>
      </c>
      <c r="E178" s="43" t="s">
        <v>7</v>
      </c>
      <c r="F178" s="50"/>
      <c r="G178" s="50">
        <f>I102*ÍndiceCorreçãoNC!$C$6</f>
        <v>0</v>
      </c>
      <c r="H178" s="50">
        <f t="shared" si="6"/>
        <v>0</v>
      </c>
      <c r="I178" s="50">
        <f t="shared" si="7"/>
        <v>506301.91106029582</v>
      </c>
      <c r="J178" s="106" t="str">
        <f t="shared" si="8"/>
        <v/>
      </c>
      <c r="K178" s="105"/>
    </row>
    <row r="179" spans="2:11" ht="12.95" customHeight="1" x14ac:dyDescent="0.25">
      <c r="B179" s="45" t="str">
        <f>VLOOKUP(C179,SintéticoNC!$F$4:$G$83,2,FALSE)</f>
        <v>General Girão</v>
      </c>
      <c r="C179" s="42" t="s">
        <v>71</v>
      </c>
      <c r="D179" s="23" t="s">
        <v>153</v>
      </c>
      <c r="E179" s="43" t="s">
        <v>7</v>
      </c>
      <c r="F179" s="50"/>
      <c r="G179" s="50">
        <f>I103*ÍndiceCorreçãoNC!$C$6</f>
        <v>0</v>
      </c>
      <c r="H179" s="50">
        <f t="shared" si="6"/>
        <v>0</v>
      </c>
      <c r="I179" s="50">
        <f t="shared" si="7"/>
        <v>208443.36752999999</v>
      </c>
      <c r="J179" s="106" t="str">
        <f t="shared" si="8"/>
        <v/>
      </c>
      <c r="K179" s="105"/>
    </row>
    <row r="180" spans="2:11" ht="12.95" customHeight="1" x14ac:dyDescent="0.25">
      <c r="B180" s="45" t="str">
        <f>VLOOKUP(C180,SintéticoNC!$F$4:$G$83,2,FALSE)</f>
        <v>João Roma</v>
      </c>
      <c r="C180" s="42" t="s">
        <v>74</v>
      </c>
      <c r="D180" s="23" t="s">
        <v>153</v>
      </c>
      <c r="E180" s="43" t="s">
        <v>7</v>
      </c>
      <c r="F180" s="50"/>
      <c r="G180" s="50">
        <f>I104*ÍndiceCorreçãoNC!$C$6</f>
        <v>0</v>
      </c>
      <c r="H180" s="50">
        <f t="shared" si="6"/>
        <v>0</v>
      </c>
      <c r="I180" s="50">
        <f t="shared" si="7"/>
        <v>72671.020983889903</v>
      </c>
      <c r="J180" s="106" t="str">
        <f t="shared" si="8"/>
        <v/>
      </c>
      <c r="K180" s="105"/>
    </row>
    <row r="181" spans="2:11" ht="12.95" customHeight="1" x14ac:dyDescent="0.25">
      <c r="B181" s="45" t="str">
        <f>VLOOKUP(C181,SintéticoNC!$F$4:$G$83,2,FALSE)</f>
        <v>Joenia Wapichana</v>
      </c>
      <c r="C181" s="42" t="s">
        <v>77</v>
      </c>
      <c r="D181" s="23" t="s">
        <v>153</v>
      </c>
      <c r="E181" s="43" t="s">
        <v>7</v>
      </c>
      <c r="F181" s="50"/>
      <c r="G181" s="50">
        <f>I105*ÍndiceCorreçãoNC!$C$6</f>
        <v>0</v>
      </c>
      <c r="H181" s="50">
        <f t="shared" si="6"/>
        <v>0</v>
      </c>
      <c r="I181" s="50">
        <f t="shared" si="7"/>
        <v>9161.8613719917994</v>
      </c>
      <c r="J181" s="106" t="str">
        <f t="shared" si="8"/>
        <v/>
      </c>
      <c r="K181" s="105"/>
    </row>
    <row r="182" spans="2:11" ht="12.95" customHeight="1" x14ac:dyDescent="0.25">
      <c r="B182" s="45" t="str">
        <f>VLOOKUP(C182,SintéticoNC!$F$4:$G$83,2,FALSE)</f>
        <v>José Nunes</v>
      </c>
      <c r="C182" s="42" t="s">
        <v>80</v>
      </c>
      <c r="D182" s="23" t="s">
        <v>153</v>
      </c>
      <c r="E182" s="43" t="s">
        <v>7</v>
      </c>
      <c r="F182" s="50"/>
      <c r="G182" s="50">
        <f>I106*ÍndiceCorreçãoNC!$C$6</f>
        <v>0</v>
      </c>
      <c r="H182" s="50">
        <f t="shared" si="6"/>
        <v>0</v>
      </c>
      <c r="I182" s="50">
        <f t="shared" si="7"/>
        <v>208443.36752999999</v>
      </c>
      <c r="J182" s="106" t="str">
        <f t="shared" si="8"/>
        <v/>
      </c>
      <c r="K182" s="105"/>
    </row>
    <row r="183" spans="2:11" ht="12.95" customHeight="1" x14ac:dyDescent="0.25">
      <c r="B183" s="45" t="str">
        <f>VLOOKUP(C183,SintéticoNC!$F$4:$G$83,2,FALSE)</f>
        <v>Josivaldo JP</v>
      </c>
      <c r="C183" s="42" t="s">
        <v>83</v>
      </c>
      <c r="D183" s="23" t="s">
        <v>153</v>
      </c>
      <c r="E183" s="43" t="s">
        <v>7</v>
      </c>
      <c r="F183" s="50"/>
      <c r="G183" s="50">
        <f>I107*ÍndiceCorreçãoNC!$C$6</f>
        <v>0</v>
      </c>
      <c r="H183" s="50">
        <f t="shared" si="6"/>
        <v>0</v>
      </c>
      <c r="I183" s="50">
        <f t="shared" si="7"/>
        <v>102711.22457999999</v>
      </c>
      <c r="J183" s="106" t="str">
        <f t="shared" si="8"/>
        <v/>
      </c>
      <c r="K183" s="105"/>
    </row>
    <row r="184" spans="2:11" ht="12.95" customHeight="1" x14ac:dyDescent="0.25">
      <c r="B184" s="45" t="str">
        <f>VLOOKUP(C184,SintéticoNC!$F$4:$G$83,2,FALSE)</f>
        <v>Junior Lourenço</v>
      </c>
      <c r="C184" s="42" t="s">
        <v>86</v>
      </c>
      <c r="D184" s="23" t="s">
        <v>153</v>
      </c>
      <c r="E184" s="43" t="s">
        <v>7</v>
      </c>
      <c r="F184" s="50"/>
      <c r="G184" s="50">
        <f>I108*ÍndiceCorreçãoNC!$C$6</f>
        <v>0</v>
      </c>
      <c r="H184" s="50">
        <f t="shared" si="6"/>
        <v>0</v>
      </c>
      <c r="I184" s="50">
        <f t="shared" si="7"/>
        <v>347405.61255000002</v>
      </c>
      <c r="J184" s="106" t="str">
        <f t="shared" si="8"/>
        <v/>
      </c>
      <c r="K184" s="105"/>
    </row>
    <row r="185" spans="2:11" ht="12.95" customHeight="1" x14ac:dyDescent="0.25">
      <c r="B185" s="45" t="str">
        <f>VLOOKUP(C185,SintéticoNC!$F$4:$G$83,2,FALSE)</f>
        <v>Leo de Brito</v>
      </c>
      <c r="C185" s="42" t="s">
        <v>89</v>
      </c>
      <c r="D185" s="23" t="s">
        <v>153</v>
      </c>
      <c r="E185" s="43" t="s">
        <v>7</v>
      </c>
      <c r="F185" s="50"/>
      <c r="G185" s="50">
        <f>I109*ÍndiceCorreçãoNC!$C$6</f>
        <v>0</v>
      </c>
      <c r="H185" s="50">
        <f t="shared" si="6"/>
        <v>0</v>
      </c>
      <c r="I185" s="50">
        <f t="shared" si="7"/>
        <v>432998.29969999997</v>
      </c>
      <c r="J185" s="106" t="str">
        <f t="shared" si="8"/>
        <v/>
      </c>
      <c r="K185" s="105"/>
    </row>
    <row r="186" spans="2:11" ht="12.95" customHeight="1" x14ac:dyDescent="0.25">
      <c r="B186" s="45" t="str">
        <f>VLOOKUP(C186,SintéticoNC!$F$4:$G$83,2,FALSE)</f>
        <v>Leur Lomanto</v>
      </c>
      <c r="C186" s="42" t="s">
        <v>92</v>
      </c>
      <c r="D186" s="23" t="s">
        <v>153</v>
      </c>
      <c r="E186" s="43" t="s">
        <v>7</v>
      </c>
      <c r="F186" s="50"/>
      <c r="G186" s="50">
        <f>I110*ÍndiceCorreçãoNC!$C$6</f>
        <v>0</v>
      </c>
      <c r="H186" s="50">
        <f t="shared" si="6"/>
        <v>0</v>
      </c>
      <c r="I186" s="50">
        <f t="shared" si="7"/>
        <v>66563.217456416998</v>
      </c>
      <c r="J186" s="106" t="str">
        <f t="shared" si="8"/>
        <v/>
      </c>
      <c r="K186" s="105"/>
    </row>
    <row r="187" spans="2:11" ht="12.95" customHeight="1" x14ac:dyDescent="0.25">
      <c r="B187" s="45" t="str">
        <f>VLOOKUP(C187,SintéticoNC!$F$4:$G$83,2,FALSE)</f>
        <v>Luciano Bivar</v>
      </c>
      <c r="C187" s="42" t="s">
        <v>95</v>
      </c>
      <c r="D187" s="23" t="s">
        <v>153</v>
      </c>
      <c r="E187" s="43" t="s">
        <v>7</v>
      </c>
      <c r="F187" s="50"/>
      <c r="G187" s="50">
        <f>I111*ÍndiceCorreçãoNC!$C$6</f>
        <v>0</v>
      </c>
      <c r="H187" s="50">
        <f t="shared" si="6"/>
        <v>0</v>
      </c>
      <c r="I187" s="50">
        <f t="shared" si="7"/>
        <v>2492.2979341616001</v>
      </c>
      <c r="J187" s="106" t="str">
        <f t="shared" si="8"/>
        <v/>
      </c>
      <c r="K187" s="105"/>
    </row>
    <row r="188" spans="2:11" ht="12.95" customHeight="1" x14ac:dyDescent="0.25">
      <c r="B188" s="45" t="str">
        <f>VLOOKUP(C188,SintéticoNC!$F$4:$G$83,2,FALSE)</f>
        <v>Luis Tibé</v>
      </c>
      <c r="C188" s="42" t="s">
        <v>98</v>
      </c>
      <c r="D188" s="23" t="s">
        <v>153</v>
      </c>
      <c r="E188" s="43" t="s">
        <v>7</v>
      </c>
      <c r="F188" s="50"/>
      <c r="G188" s="50">
        <f>I112*ÍndiceCorreçãoNC!$C$6</f>
        <v>0</v>
      </c>
      <c r="H188" s="50">
        <f t="shared" si="6"/>
        <v>0</v>
      </c>
      <c r="I188" s="50">
        <f t="shared" si="7"/>
        <v>208443.36752999999</v>
      </c>
      <c r="J188" s="106" t="str">
        <f t="shared" si="8"/>
        <v/>
      </c>
      <c r="K188" s="105"/>
    </row>
    <row r="189" spans="2:11" ht="12.95" customHeight="1" x14ac:dyDescent="0.25">
      <c r="B189" s="45" t="str">
        <f>VLOOKUP(C189,SintéticoNC!$F$4:$G$83,2,FALSE)</f>
        <v>Mara Rocha</v>
      </c>
      <c r="C189" s="42" t="s">
        <v>101</v>
      </c>
      <c r="D189" s="23" t="s">
        <v>153</v>
      </c>
      <c r="E189" s="43" t="s">
        <v>7</v>
      </c>
      <c r="F189" s="50"/>
      <c r="G189" s="50">
        <f>I113*ÍndiceCorreçãoNC!$C$6</f>
        <v>0</v>
      </c>
      <c r="H189" s="50">
        <f t="shared" si="6"/>
        <v>0</v>
      </c>
      <c r="I189" s="50">
        <f t="shared" si="7"/>
        <v>411222.61381352897</v>
      </c>
      <c r="J189" s="106" t="str">
        <f t="shared" si="8"/>
        <v/>
      </c>
      <c r="K189" s="105"/>
    </row>
    <row r="190" spans="2:11" ht="12.95" customHeight="1" x14ac:dyDescent="0.25">
      <c r="B190" s="45" t="str">
        <f>VLOOKUP(C190,SintéticoNC!$F$4:$G$83,2,FALSE)</f>
        <v>Marx Beltrão</v>
      </c>
      <c r="C190" s="42" t="s">
        <v>104</v>
      </c>
      <c r="D190" s="23" t="s">
        <v>153</v>
      </c>
      <c r="E190" s="43" t="s">
        <v>7</v>
      </c>
      <c r="F190" s="50"/>
      <c r="G190" s="50">
        <f>I114*ÍndiceCorreçãoNC!$C$6</f>
        <v>0</v>
      </c>
      <c r="H190" s="50">
        <f t="shared" si="6"/>
        <v>0</v>
      </c>
      <c r="I190" s="50">
        <f t="shared" si="7"/>
        <v>208443.36752999999</v>
      </c>
      <c r="J190" s="106" t="str">
        <f t="shared" si="8"/>
        <v/>
      </c>
      <c r="K190" s="105"/>
    </row>
    <row r="191" spans="2:11" ht="12.95" customHeight="1" x14ac:dyDescent="0.25">
      <c r="B191" s="45" t="str">
        <f>VLOOKUP(C191,SintéticoNC!$F$4:$G$83,2,FALSE)</f>
        <v>Ministério das Comunicações</v>
      </c>
      <c r="C191" s="42" t="s">
        <v>107</v>
      </c>
      <c r="D191" s="23" t="s">
        <v>153</v>
      </c>
      <c r="E191" s="43" t="s">
        <v>7</v>
      </c>
      <c r="F191" s="50"/>
      <c r="G191" s="50">
        <f>I115*ÍndiceCorreçãoNC!$C$6</f>
        <v>0</v>
      </c>
      <c r="H191" s="50">
        <f t="shared" si="6"/>
        <v>0</v>
      </c>
      <c r="I191" s="50">
        <f t="shared" si="7"/>
        <v>15499755.251688881</v>
      </c>
      <c r="J191" s="106" t="str">
        <f t="shared" si="8"/>
        <v/>
      </c>
      <c r="K191" s="105"/>
    </row>
    <row r="192" spans="2:11" ht="12.95" customHeight="1" x14ac:dyDescent="0.25">
      <c r="B192" s="45" t="str">
        <f>VLOOKUP(C192,SintéticoNC!$F$4:$G$83,2,FALSE)</f>
        <v>Ministério das Comunicações</v>
      </c>
      <c r="C192" s="42" t="s">
        <v>109</v>
      </c>
      <c r="D192" s="23" t="s">
        <v>153</v>
      </c>
      <c r="E192" s="43" t="s">
        <v>7</v>
      </c>
      <c r="F192" s="50"/>
      <c r="G192" s="50">
        <f>I116*ÍndiceCorreçãoNC!$C$6</f>
        <v>0</v>
      </c>
      <c r="H192" s="50">
        <f t="shared" si="6"/>
        <v>0</v>
      </c>
      <c r="I192" s="50">
        <f t="shared" si="7"/>
        <v>3713715.64952</v>
      </c>
      <c r="J192" s="106" t="str">
        <f t="shared" si="8"/>
        <v/>
      </c>
      <c r="K192" s="105"/>
    </row>
    <row r="193" spans="2:11" ht="12.95" customHeight="1" x14ac:dyDescent="0.25">
      <c r="B193" s="45" t="str">
        <f>VLOOKUP(C193,SintéticoNC!$F$4:$G$83,2,FALSE)</f>
        <v>Ministério das Comunicações</v>
      </c>
      <c r="C193" s="42" t="s">
        <v>111</v>
      </c>
      <c r="D193" s="23" t="s">
        <v>153</v>
      </c>
      <c r="E193" s="43" t="s">
        <v>7</v>
      </c>
      <c r="F193" s="50"/>
      <c r="G193" s="50">
        <f>I117*ÍndiceCorreçãoNC!$C$6</f>
        <v>0</v>
      </c>
      <c r="H193" s="50">
        <f t="shared" si="6"/>
        <v>0</v>
      </c>
      <c r="I193" s="50">
        <f t="shared" si="7"/>
        <v>10069727.9</v>
      </c>
      <c r="J193" s="106" t="str">
        <f t="shared" si="8"/>
        <v/>
      </c>
      <c r="K193" s="105"/>
    </row>
    <row r="194" spans="2:11" ht="12.95" customHeight="1" x14ac:dyDescent="0.25">
      <c r="B194" s="45" t="str">
        <f>VLOOKUP(C194,SintéticoNC!$F$4:$G$83,2,FALSE)</f>
        <v>Ministério da Educação</v>
      </c>
      <c r="C194" s="42" t="s">
        <v>114</v>
      </c>
      <c r="D194" s="23" t="s">
        <v>153</v>
      </c>
      <c r="E194" s="43" t="s">
        <v>7</v>
      </c>
      <c r="F194" s="50"/>
      <c r="G194" s="50">
        <f>I118*ÍndiceCorreçãoNC!$C$6</f>
        <v>0</v>
      </c>
      <c r="H194" s="50">
        <f t="shared" si="6"/>
        <v>0</v>
      </c>
      <c r="I194" s="50">
        <f t="shared" si="7"/>
        <v>16980781.538382418</v>
      </c>
      <c r="J194" s="106" t="str">
        <f t="shared" si="8"/>
        <v/>
      </c>
      <c r="K194" s="105"/>
    </row>
    <row r="195" spans="2:11" ht="12.95" customHeight="1" x14ac:dyDescent="0.25">
      <c r="B195" s="45" t="str">
        <f>VLOOKUP(C195,SintéticoNC!$F$4:$G$83,2,FALSE)</f>
        <v>Ministério da Educação</v>
      </c>
      <c r="C195" s="42" t="s">
        <v>116</v>
      </c>
      <c r="D195" s="23" t="s">
        <v>153</v>
      </c>
      <c r="E195" s="43" t="s">
        <v>7</v>
      </c>
      <c r="F195" s="50"/>
      <c r="G195" s="50">
        <f>I119*ÍndiceCorreçãoNC!$C$6</f>
        <v>0</v>
      </c>
      <c r="H195" s="50">
        <f t="shared" si="6"/>
        <v>0</v>
      </c>
      <c r="I195" s="50">
        <f t="shared" si="7"/>
        <v>3706666.8399899998</v>
      </c>
      <c r="J195" s="106" t="str">
        <f t="shared" si="8"/>
        <v/>
      </c>
      <c r="K195" s="105"/>
    </row>
    <row r="196" spans="2:11" ht="12.95" customHeight="1" x14ac:dyDescent="0.25">
      <c r="B196" s="45" t="str">
        <f>VLOOKUP(C196,SintéticoNC!$F$4:$G$83,2,FALSE)</f>
        <v>Ministério da Justiça</v>
      </c>
      <c r="C196" s="42" t="s">
        <v>119</v>
      </c>
      <c r="D196" s="23" t="s">
        <v>153</v>
      </c>
      <c r="E196" s="43" t="s">
        <v>7</v>
      </c>
      <c r="F196" s="50"/>
      <c r="G196" s="50">
        <f>I120*ÍndiceCorreçãoNC!$C$6</f>
        <v>0</v>
      </c>
      <c r="H196" s="50">
        <f t="shared" si="6"/>
        <v>0</v>
      </c>
      <c r="I196" s="50">
        <f t="shared" si="7"/>
        <v>630294.98193109501</v>
      </c>
      <c r="J196" s="106" t="str">
        <f t="shared" si="8"/>
        <v/>
      </c>
      <c r="K196" s="105"/>
    </row>
    <row r="197" spans="2:11" ht="12.95" customHeight="1" x14ac:dyDescent="0.25">
      <c r="B197" s="45" t="str">
        <f>VLOOKUP(C197,SintéticoNC!$F$4:$G$83,2,FALSE)</f>
        <v>Ministério do Meio Ambiente</v>
      </c>
      <c r="C197" s="42" t="s">
        <v>122</v>
      </c>
      <c r="D197" s="23" t="s">
        <v>153</v>
      </c>
      <c r="E197" s="43" t="s">
        <v>7</v>
      </c>
      <c r="F197" s="50"/>
      <c r="G197" s="50">
        <f>I121*ÍndiceCorreçãoNC!$C$6</f>
        <v>0</v>
      </c>
      <c r="H197" s="50">
        <f t="shared" si="6"/>
        <v>0</v>
      </c>
      <c r="I197" s="50">
        <f t="shared" si="7"/>
        <v>108551.66676199999</v>
      </c>
      <c r="J197" s="106" t="str">
        <f t="shared" si="8"/>
        <v/>
      </c>
      <c r="K197" s="105"/>
    </row>
    <row r="198" spans="2:11" ht="12.95" customHeight="1" x14ac:dyDescent="0.25">
      <c r="B198" s="45" t="str">
        <f>VLOOKUP(C198,SintéticoNC!$F$4:$G$83,2,FALSE)</f>
        <v>Perpétua Almeida</v>
      </c>
      <c r="C198" s="42" t="s">
        <v>125</v>
      </c>
      <c r="D198" s="23" t="s">
        <v>153</v>
      </c>
      <c r="E198" s="43" t="s">
        <v>7</v>
      </c>
      <c r="F198" s="50"/>
      <c r="G198" s="50">
        <f>I122*ÍndiceCorreçãoNC!$C$6</f>
        <v>0</v>
      </c>
      <c r="H198" s="50">
        <f t="shared" si="6"/>
        <v>0</v>
      </c>
      <c r="I198" s="50">
        <f t="shared" si="7"/>
        <v>416886.73505999998</v>
      </c>
      <c r="J198" s="106" t="str">
        <f t="shared" si="8"/>
        <v/>
      </c>
      <c r="K198" s="105"/>
    </row>
    <row r="199" spans="2:11" ht="12.95" customHeight="1" x14ac:dyDescent="0.25">
      <c r="B199" s="45" t="str">
        <f>VLOOKUP(C199,SintéticoNC!$F$4:$G$83,2,FALSE)</f>
        <v>PRF RO</v>
      </c>
      <c r="C199" s="42" t="s">
        <v>128</v>
      </c>
      <c r="D199" s="23" t="s">
        <v>153</v>
      </c>
      <c r="E199" s="43" t="s">
        <v>7</v>
      </c>
      <c r="F199" s="50"/>
      <c r="G199" s="50">
        <f>I123*ÍndiceCorreçãoNC!$C$6</f>
        <v>0</v>
      </c>
      <c r="H199" s="50">
        <f t="shared" si="6"/>
        <v>0</v>
      </c>
      <c r="I199" s="50">
        <f t="shared" si="7"/>
        <v>46723.537455999998</v>
      </c>
      <c r="J199" s="106" t="str">
        <f t="shared" si="8"/>
        <v/>
      </c>
      <c r="K199" s="105"/>
    </row>
    <row r="200" spans="2:11" ht="12.95" customHeight="1" x14ac:dyDescent="0.25">
      <c r="B200" s="45" t="str">
        <f>VLOOKUP(C200,SintéticoNC!$F$4:$G$83,2,FALSE)</f>
        <v>Senador Confúcio Moura</v>
      </c>
      <c r="C200" s="42" t="s">
        <v>131</v>
      </c>
      <c r="D200" s="23" t="s">
        <v>153</v>
      </c>
      <c r="E200" s="43" t="s">
        <v>7</v>
      </c>
      <c r="F200" s="50"/>
      <c r="G200" s="50">
        <f>I124*ÍndiceCorreçãoNC!$C$6</f>
        <v>0</v>
      </c>
      <c r="H200" s="50">
        <f t="shared" si="6"/>
        <v>0</v>
      </c>
      <c r="I200" s="50">
        <f t="shared" si="7"/>
        <v>345423.16507887124</v>
      </c>
      <c r="J200" s="106" t="str">
        <f t="shared" si="8"/>
        <v/>
      </c>
      <c r="K200" s="105"/>
    </row>
    <row r="201" spans="2:11" ht="12.95" customHeight="1" x14ac:dyDescent="0.25">
      <c r="B201" s="45" t="str">
        <f>VLOOKUP(C201,SintéticoNC!$F$4:$G$83,2,FALSE)</f>
        <v>Sérgio Petecão</v>
      </c>
      <c r="C201" s="42" t="s">
        <v>134</v>
      </c>
      <c r="D201" s="23" t="s">
        <v>153</v>
      </c>
      <c r="E201" s="43" t="s">
        <v>7</v>
      </c>
      <c r="F201" s="50"/>
      <c r="G201" s="50">
        <f>I125*ÍndiceCorreçãoNC!$C$6</f>
        <v>0</v>
      </c>
      <c r="H201" s="50">
        <f t="shared" si="6"/>
        <v>0</v>
      </c>
      <c r="I201" s="50">
        <f t="shared" si="7"/>
        <v>286973.14753094001</v>
      </c>
      <c r="J201" s="106" t="str">
        <f t="shared" si="8"/>
        <v/>
      </c>
      <c r="K201" s="105"/>
    </row>
    <row r="202" spans="2:11" ht="12.95" customHeight="1" x14ac:dyDescent="0.25">
      <c r="B202" s="45" t="str">
        <f>VLOOKUP(C202,SintéticoNC!$F$4:$G$83,2,FALSE)</f>
        <v>Soraya Thronicke</v>
      </c>
      <c r="C202" s="42" t="s">
        <v>137</v>
      </c>
      <c r="D202" s="23" t="s">
        <v>153</v>
      </c>
      <c r="E202" s="43" t="s">
        <v>7</v>
      </c>
      <c r="F202" s="50"/>
      <c r="G202" s="50">
        <f>I126*ÍndiceCorreçãoNC!$C$6</f>
        <v>0</v>
      </c>
      <c r="H202" s="50">
        <f t="shared" si="6"/>
        <v>0</v>
      </c>
      <c r="I202" s="50">
        <f t="shared" si="7"/>
        <v>347405.61255000002</v>
      </c>
      <c r="J202" s="106" t="str">
        <f t="shared" si="8"/>
        <v/>
      </c>
      <c r="K202" s="105"/>
    </row>
    <row r="203" spans="2:11" ht="12.95" customHeight="1" x14ac:dyDescent="0.25">
      <c r="B203" s="45" t="str">
        <f>VLOOKUP(C203,SintéticoNC!$F$4:$G$83,2,FALSE)</f>
        <v>Uldurico Junior</v>
      </c>
      <c r="C203" s="42" t="s">
        <v>140</v>
      </c>
      <c r="D203" s="23" t="s">
        <v>153</v>
      </c>
      <c r="E203" s="43" t="s">
        <v>7</v>
      </c>
      <c r="F203" s="50"/>
      <c r="G203" s="50">
        <f>I127*ÍndiceCorreçãoNC!$C$6</f>
        <v>0</v>
      </c>
      <c r="H203" s="50">
        <f t="shared" si="6"/>
        <v>0</v>
      </c>
      <c r="I203" s="50">
        <f t="shared" si="7"/>
        <v>311154.59211000003</v>
      </c>
      <c r="J203" s="106" t="str">
        <f t="shared" si="8"/>
        <v/>
      </c>
      <c r="K203" s="105"/>
    </row>
    <row r="204" spans="2:11" ht="12.95" customHeight="1" x14ac:dyDescent="0.25">
      <c r="B204" s="45" t="str">
        <f>VLOOKUP(C204,SintéticoNC!$F$4:$G$83,2,FALSE)</f>
        <v>Bancada de Alagoas</v>
      </c>
      <c r="C204" s="42" t="s">
        <v>156</v>
      </c>
      <c r="D204" s="23" t="s">
        <v>216</v>
      </c>
      <c r="E204" s="43" t="s">
        <v>7</v>
      </c>
      <c r="F204" s="50"/>
      <c r="G204" s="50">
        <f>I128*ÍndiceCorreçãoNC!$C$6</f>
        <v>0</v>
      </c>
      <c r="H204" s="50">
        <f t="shared" si="6"/>
        <v>0</v>
      </c>
      <c r="I204" s="50">
        <f t="shared" si="7"/>
        <v>612239.45632</v>
      </c>
      <c r="J204" s="106" t="str">
        <f t="shared" si="8"/>
        <v/>
      </c>
      <c r="K204" s="105"/>
    </row>
    <row r="205" spans="2:11" ht="12.95" customHeight="1" x14ac:dyDescent="0.25">
      <c r="B205" s="45" t="str">
        <f>VLOOKUP(C205,SintéticoNC!$F$4:$G$83,2,FALSE)</f>
        <v>Bancada de Alagoas</v>
      </c>
      <c r="C205" s="42" t="s">
        <v>158</v>
      </c>
      <c r="D205" s="23" t="s">
        <v>216</v>
      </c>
      <c r="E205" s="43" t="s">
        <v>7</v>
      </c>
      <c r="F205" s="50"/>
      <c r="G205" s="50">
        <f>I129*ÍndiceCorreçãoNC!$C$6</f>
        <v>0</v>
      </c>
      <c r="H205" s="50">
        <f t="shared" si="6"/>
        <v>0</v>
      </c>
      <c r="I205" s="50">
        <f t="shared" si="7"/>
        <v>176220.23824999999</v>
      </c>
      <c r="J205" s="106" t="str">
        <f t="shared" si="8"/>
        <v/>
      </c>
      <c r="K205" s="105"/>
    </row>
    <row r="206" spans="2:11" ht="12.95" customHeight="1" x14ac:dyDescent="0.25">
      <c r="B206" s="45" t="str">
        <f>VLOOKUP(C206,SintéticoNC!$F$4:$G$83,2,FALSE)</f>
        <v>Bancada de Alagoas</v>
      </c>
      <c r="C206" s="42" t="s">
        <v>160</v>
      </c>
      <c r="D206" s="23" t="s">
        <v>216</v>
      </c>
      <c r="E206" s="43" t="s">
        <v>7</v>
      </c>
      <c r="F206" s="50"/>
      <c r="G206" s="50">
        <f>I130*ÍndiceCorreçãoNC!$C$6</f>
        <v>0</v>
      </c>
      <c r="H206" s="50">
        <f t="shared" si="6"/>
        <v>0</v>
      </c>
      <c r="I206" s="50">
        <f t="shared" si="7"/>
        <v>755229.59250000003</v>
      </c>
      <c r="J206" s="106" t="str">
        <f t="shared" si="8"/>
        <v/>
      </c>
      <c r="K206" s="105"/>
    </row>
    <row r="207" spans="2:11" ht="12.95" customHeight="1" x14ac:dyDescent="0.25">
      <c r="B207" s="45" t="str">
        <f>VLOOKUP(C207,SintéticoNC!$F$4:$G$83,2,FALSE)</f>
        <v>Bancada de Minas Gerais</v>
      </c>
      <c r="C207" s="42" t="s">
        <v>162</v>
      </c>
      <c r="D207" s="23" t="s">
        <v>216</v>
      </c>
      <c r="E207" s="43" t="s">
        <v>7</v>
      </c>
      <c r="F207" s="50"/>
      <c r="G207" s="50">
        <f>I131*ÍndiceCorreçãoNC!$C$6</f>
        <v>0</v>
      </c>
      <c r="H207" s="50">
        <f t="shared" si="6"/>
        <v>0</v>
      </c>
      <c r="I207" s="50">
        <f t="shared" si="7"/>
        <v>5236258.5080000004</v>
      </c>
      <c r="J207" s="106" t="str">
        <f t="shared" si="8"/>
        <v/>
      </c>
      <c r="K207" s="105"/>
    </row>
    <row r="208" spans="2:11" ht="12.95" customHeight="1" x14ac:dyDescent="0.25">
      <c r="B208" s="45" t="str">
        <f>VLOOKUP(C208,SintéticoNC!$F$4:$G$83,2,FALSE)</f>
        <v>Bancada de São Paulo</v>
      </c>
      <c r="C208" s="42" t="s">
        <v>164</v>
      </c>
      <c r="D208" s="23" t="s">
        <v>216</v>
      </c>
      <c r="E208" s="43" t="s">
        <v>7</v>
      </c>
      <c r="F208" s="50"/>
      <c r="G208" s="50">
        <f>I132*ÍndiceCorreçãoNC!$C$6</f>
        <v>0</v>
      </c>
      <c r="H208" s="50">
        <f t="shared" si="6"/>
        <v>0</v>
      </c>
      <c r="I208" s="50">
        <f t="shared" si="7"/>
        <v>700128.04143119999</v>
      </c>
      <c r="J208" s="106" t="str">
        <f t="shared" si="8"/>
        <v/>
      </c>
      <c r="K208" s="105"/>
    </row>
    <row r="209" spans="2:11" ht="12.95" customHeight="1" x14ac:dyDescent="0.25">
      <c r="B209" s="45" t="str">
        <f>VLOOKUP(C209,SintéticoNC!$F$4:$G$83,2,FALSE)</f>
        <v>Bancada do Espírito Santo</v>
      </c>
      <c r="C209" s="42" t="s">
        <v>166</v>
      </c>
      <c r="D209" s="23" t="s">
        <v>216</v>
      </c>
      <c r="E209" s="43" t="s">
        <v>7</v>
      </c>
      <c r="F209" s="50"/>
      <c r="G209" s="50">
        <f>I133*ÍndiceCorreçãoNC!$C$6</f>
        <v>0</v>
      </c>
      <c r="H209" s="50">
        <f t="shared" si="6"/>
        <v>0</v>
      </c>
      <c r="I209" s="50">
        <f t="shared" si="7"/>
        <v>788459.69457000005</v>
      </c>
      <c r="J209" s="106" t="str">
        <f t="shared" si="8"/>
        <v/>
      </c>
      <c r="K209" s="105"/>
    </row>
    <row r="210" spans="2:11" ht="12.95" customHeight="1" x14ac:dyDescent="0.25">
      <c r="B210" s="45" t="str">
        <f>VLOOKUP(C210,SintéticoNC!$F$4:$G$83,2,FALSE)</f>
        <v>Bancada do Espírito Santo</v>
      </c>
      <c r="C210" s="42" t="s">
        <v>168</v>
      </c>
      <c r="D210" s="23" t="s">
        <v>216</v>
      </c>
      <c r="E210" s="43" t="s">
        <v>7</v>
      </c>
      <c r="F210" s="50"/>
      <c r="G210" s="50">
        <f>I134*ÍndiceCorreçãoNC!$C$6</f>
        <v>0</v>
      </c>
      <c r="H210" s="50">
        <f t="shared" ref="H210:H273" si="9">IF(I134+G210&gt;F210,F210,I134+G210)</f>
        <v>0</v>
      </c>
      <c r="I210" s="50">
        <f t="shared" ref="I210:I273" si="10">IF(F210&gt;I134+G210,"",I134+G210-F210)</f>
        <v>846012.20733993209</v>
      </c>
      <c r="J210" s="106" t="str">
        <f t="shared" ref="J210:J273" si="11">IF(I210="",F210-(I134+G210),"")</f>
        <v/>
      </c>
      <c r="K210" s="105"/>
    </row>
    <row r="211" spans="2:11" ht="12.95" customHeight="1" x14ac:dyDescent="0.25">
      <c r="B211" s="45" t="str">
        <f>VLOOKUP(C211,SintéticoNC!$F$4:$G$83,2,FALSE)</f>
        <v>Bancada do Pará</v>
      </c>
      <c r="C211" s="42" t="s">
        <v>170</v>
      </c>
      <c r="D211" s="23" t="s">
        <v>216</v>
      </c>
      <c r="E211" s="43" t="s">
        <v>7</v>
      </c>
      <c r="F211" s="50"/>
      <c r="G211" s="50">
        <f>I135*ÍndiceCorreçãoNC!$C$6</f>
        <v>0</v>
      </c>
      <c r="H211" s="50">
        <f t="shared" si="9"/>
        <v>0</v>
      </c>
      <c r="I211" s="50">
        <f t="shared" si="10"/>
        <v>185282.99335999999</v>
      </c>
      <c r="J211" s="106" t="str">
        <f t="shared" si="11"/>
        <v/>
      </c>
      <c r="K211" s="105"/>
    </row>
    <row r="212" spans="2:11" ht="12.95" customHeight="1" x14ac:dyDescent="0.25">
      <c r="B212" s="45" t="str">
        <f>VLOOKUP(C212,SintéticoNC!$F$4:$G$83,2,FALSE)</f>
        <v>Bancada do Pará</v>
      </c>
      <c r="C212" s="42" t="s">
        <v>172</v>
      </c>
      <c r="D212" s="23" t="s">
        <v>216</v>
      </c>
      <c r="E212" s="43" t="s">
        <v>7</v>
      </c>
      <c r="F212" s="50"/>
      <c r="G212" s="50">
        <f>I136*ÍndiceCorreçãoNC!$C$6</f>
        <v>0</v>
      </c>
      <c r="H212" s="50">
        <f t="shared" si="9"/>
        <v>0</v>
      </c>
      <c r="I212" s="50">
        <f t="shared" si="10"/>
        <v>314598.4390518</v>
      </c>
      <c r="J212" s="106" t="str">
        <f t="shared" si="11"/>
        <v/>
      </c>
      <c r="K212" s="105"/>
    </row>
    <row r="213" spans="2:11" ht="12.95" customHeight="1" x14ac:dyDescent="0.25">
      <c r="B213" s="45" t="str">
        <f>VLOOKUP(C213,SintéticoNC!$F$4:$G$83,2,FALSE)</f>
        <v>Coronel Chrisóstomo</v>
      </c>
      <c r="C213" s="42" t="s">
        <v>174</v>
      </c>
      <c r="D213" s="23" t="s">
        <v>216</v>
      </c>
      <c r="E213" s="43" t="s">
        <v>7</v>
      </c>
      <c r="F213" s="50"/>
      <c r="G213" s="50">
        <f>I137*ÍndiceCorreçãoNC!$C$6</f>
        <v>0</v>
      </c>
      <c r="H213" s="50">
        <f t="shared" si="9"/>
        <v>0</v>
      </c>
      <c r="I213" s="50">
        <f t="shared" si="10"/>
        <v>61928.826585000003</v>
      </c>
      <c r="J213" s="106" t="str">
        <f t="shared" si="11"/>
        <v/>
      </c>
      <c r="K213" s="105"/>
    </row>
    <row r="214" spans="2:11" ht="12.95" customHeight="1" x14ac:dyDescent="0.25">
      <c r="B214" s="45" t="str">
        <f>VLOOKUP(C214,SintéticoNC!$F$4:$G$83,2,FALSE)</f>
        <v>Dimas Fabiano</v>
      </c>
      <c r="C214" s="42" t="s">
        <v>176</v>
      </c>
      <c r="D214" s="23" t="s">
        <v>216</v>
      </c>
      <c r="E214" s="43" t="s">
        <v>7</v>
      </c>
      <c r="F214" s="50"/>
      <c r="G214" s="50">
        <f>I138*ÍndiceCorreçãoNC!$C$6</f>
        <v>0</v>
      </c>
      <c r="H214" s="50">
        <f t="shared" si="9"/>
        <v>0</v>
      </c>
      <c r="I214" s="50">
        <f t="shared" si="10"/>
        <v>93648.469469999996</v>
      </c>
      <c r="J214" s="106" t="str">
        <f t="shared" si="11"/>
        <v/>
      </c>
      <c r="K214" s="105"/>
    </row>
    <row r="215" spans="2:11" ht="12.95" customHeight="1" x14ac:dyDescent="0.25">
      <c r="B215" s="45" t="str">
        <f>VLOOKUP(C215,SintéticoNC!$F$4:$G$83,2,FALSE)</f>
        <v>Edna Henrique</v>
      </c>
      <c r="C215" s="42" t="s">
        <v>178</v>
      </c>
      <c r="D215" s="23" t="s">
        <v>216</v>
      </c>
      <c r="E215" s="43" t="s">
        <v>7</v>
      </c>
      <c r="F215" s="50"/>
      <c r="G215" s="50">
        <f>I139*ÍndiceCorreçãoNC!$C$6</f>
        <v>0</v>
      </c>
      <c r="H215" s="50">
        <f t="shared" si="9"/>
        <v>0</v>
      </c>
      <c r="I215" s="50">
        <f t="shared" si="10"/>
        <v>92641.496679999997</v>
      </c>
      <c r="J215" s="106" t="str">
        <f t="shared" si="11"/>
        <v/>
      </c>
      <c r="K215" s="105"/>
    </row>
    <row r="216" spans="2:11" ht="12.95" customHeight="1" x14ac:dyDescent="0.25">
      <c r="B216" s="45" t="str">
        <f>VLOOKUP(C216,SintéticoNC!$F$4:$G$83,2,FALSE)</f>
        <v>Fabio Reis</v>
      </c>
      <c r="C216" s="42" t="s">
        <v>180</v>
      </c>
      <c r="D216" s="23" t="s">
        <v>216</v>
      </c>
      <c r="E216" s="43" t="s">
        <v>7</v>
      </c>
      <c r="F216" s="50"/>
      <c r="G216" s="50">
        <f>I140*ÍndiceCorreçãoNC!$C$6</f>
        <v>0</v>
      </c>
      <c r="H216" s="50">
        <f t="shared" si="9"/>
        <v>0</v>
      </c>
      <c r="I216" s="50">
        <f t="shared" si="10"/>
        <v>42172.020445200003</v>
      </c>
      <c r="J216" s="106" t="str">
        <f t="shared" si="11"/>
        <v/>
      </c>
      <c r="K216" s="105"/>
    </row>
    <row r="217" spans="2:11" ht="12.95" customHeight="1" x14ac:dyDescent="0.25">
      <c r="B217" s="45" t="str">
        <f>VLOOKUP(C217,SintéticoNC!$F$4:$G$83,2,FALSE)</f>
        <v>Flavia Arruda</v>
      </c>
      <c r="C217" s="42" t="s">
        <v>182</v>
      </c>
      <c r="D217" s="23" t="s">
        <v>216</v>
      </c>
      <c r="E217" s="43" t="s">
        <v>7</v>
      </c>
      <c r="F217" s="50"/>
      <c r="G217" s="50">
        <f>I141*ÍndiceCorreçãoNC!$C$6</f>
        <v>0</v>
      </c>
      <c r="H217" s="50">
        <f t="shared" si="9"/>
        <v>0</v>
      </c>
      <c r="I217" s="50">
        <f t="shared" si="10"/>
        <v>371113.77991776</v>
      </c>
      <c r="J217" s="106" t="str">
        <f t="shared" si="11"/>
        <v/>
      </c>
      <c r="K217" s="105"/>
    </row>
    <row r="218" spans="2:11" ht="12.95" customHeight="1" x14ac:dyDescent="0.25">
      <c r="B218" s="45" t="str">
        <f>VLOOKUP(C218,SintéticoNC!$F$4:$G$83,2,FALSE)</f>
        <v>General Girão</v>
      </c>
      <c r="C218" s="42" t="s">
        <v>184</v>
      </c>
      <c r="D218" s="23" t="s">
        <v>216</v>
      </c>
      <c r="E218" s="43" t="s">
        <v>7</v>
      </c>
      <c r="F218" s="50"/>
      <c r="G218" s="50">
        <f>I142*ÍndiceCorreçãoNC!$C$6</f>
        <v>0</v>
      </c>
      <c r="H218" s="50">
        <f t="shared" si="9"/>
        <v>0</v>
      </c>
      <c r="I218" s="50">
        <f t="shared" si="10"/>
        <v>93648.469469999996</v>
      </c>
      <c r="J218" s="106" t="str">
        <f t="shared" si="11"/>
        <v/>
      </c>
      <c r="K218" s="105"/>
    </row>
    <row r="219" spans="2:11" ht="12.95" customHeight="1" x14ac:dyDescent="0.25">
      <c r="B219" s="45" t="str">
        <f>VLOOKUP(C219,SintéticoNC!$F$4:$G$83,2,FALSE)</f>
        <v>José Nunes</v>
      </c>
      <c r="C219" s="42" t="s">
        <v>186</v>
      </c>
      <c r="D219" s="23" t="s">
        <v>216</v>
      </c>
      <c r="E219" s="43" t="s">
        <v>7</v>
      </c>
      <c r="F219" s="50"/>
      <c r="G219" s="50">
        <f>I143*ÍndiceCorreçãoNC!$C$6</f>
        <v>0</v>
      </c>
      <c r="H219" s="50">
        <f t="shared" si="9"/>
        <v>0</v>
      </c>
      <c r="I219" s="50">
        <f t="shared" si="10"/>
        <v>93648.469469999996</v>
      </c>
      <c r="J219" s="106" t="str">
        <f t="shared" si="11"/>
        <v/>
      </c>
      <c r="K219" s="105"/>
    </row>
    <row r="220" spans="2:11" ht="12.95" customHeight="1" x14ac:dyDescent="0.25">
      <c r="B220" s="45" t="str">
        <f>VLOOKUP(C220,SintéticoNC!$F$4:$G$83,2,FALSE)</f>
        <v>Josivaldo JP</v>
      </c>
      <c r="C220" s="42" t="s">
        <v>188</v>
      </c>
      <c r="D220" s="23" t="s">
        <v>216</v>
      </c>
      <c r="E220" s="43" t="s">
        <v>7</v>
      </c>
      <c r="F220" s="50"/>
      <c r="G220" s="50">
        <f>I144*ÍndiceCorreçãoNC!$C$6</f>
        <v>0</v>
      </c>
      <c r="H220" s="50">
        <f t="shared" si="9"/>
        <v>0</v>
      </c>
      <c r="I220" s="50">
        <f t="shared" si="10"/>
        <v>48334.693919999998</v>
      </c>
      <c r="J220" s="106" t="str">
        <f t="shared" si="11"/>
        <v/>
      </c>
      <c r="K220" s="105"/>
    </row>
    <row r="221" spans="2:11" ht="12.95" customHeight="1" x14ac:dyDescent="0.25">
      <c r="B221" s="45" t="str">
        <f>VLOOKUP(C221,SintéticoNC!$F$4:$G$83,2,FALSE)</f>
        <v>Junior Lourenço</v>
      </c>
      <c r="C221" s="42" t="s">
        <v>190</v>
      </c>
      <c r="D221" s="23" t="s">
        <v>216</v>
      </c>
      <c r="E221" s="43" t="s">
        <v>7</v>
      </c>
      <c r="F221" s="50"/>
      <c r="G221" s="50">
        <f>I145*ÍndiceCorreçãoNC!$C$6</f>
        <v>0</v>
      </c>
      <c r="H221" s="50">
        <f t="shared" si="9"/>
        <v>0</v>
      </c>
      <c r="I221" s="50">
        <f t="shared" si="10"/>
        <v>156080.78245</v>
      </c>
      <c r="J221" s="106" t="str">
        <f t="shared" si="11"/>
        <v/>
      </c>
      <c r="K221" s="105"/>
    </row>
    <row r="222" spans="2:11" ht="12.95" customHeight="1" x14ac:dyDescent="0.25">
      <c r="B222" s="45" t="str">
        <f>VLOOKUP(C222,SintéticoNC!$F$4:$G$83,2,FALSE)</f>
        <v>Leo de Brito</v>
      </c>
      <c r="C222" s="42" t="s">
        <v>192</v>
      </c>
      <c r="D222" s="23" t="s">
        <v>216</v>
      </c>
      <c r="E222" s="43" t="s">
        <v>7</v>
      </c>
      <c r="F222" s="50"/>
      <c r="G222" s="50">
        <f>I146*ÍndiceCorreçãoNC!$C$6</f>
        <v>0</v>
      </c>
      <c r="H222" s="50">
        <f t="shared" si="9"/>
        <v>0</v>
      </c>
      <c r="I222" s="50">
        <f t="shared" si="10"/>
        <v>171185.3743</v>
      </c>
      <c r="J222" s="106" t="str">
        <f t="shared" si="11"/>
        <v/>
      </c>
      <c r="K222" s="105"/>
    </row>
    <row r="223" spans="2:11" ht="12.95" customHeight="1" x14ac:dyDescent="0.25">
      <c r="B223" s="45" t="str">
        <f>VLOOKUP(C223,SintéticoNC!$F$4:$G$83,2,FALSE)</f>
        <v>Luciano Bivar</v>
      </c>
      <c r="C223" s="42" t="s">
        <v>194</v>
      </c>
      <c r="D223" s="23" t="s">
        <v>216</v>
      </c>
      <c r="E223" s="43" t="s">
        <v>7</v>
      </c>
      <c r="F223" s="50"/>
      <c r="G223" s="50">
        <f>I147*ÍndiceCorreçãoNC!$C$6</f>
        <v>0</v>
      </c>
      <c r="H223" s="50">
        <f t="shared" si="9"/>
        <v>0</v>
      </c>
      <c r="I223" s="50">
        <f t="shared" si="10"/>
        <v>93648.469469999996</v>
      </c>
      <c r="J223" s="106" t="str">
        <f t="shared" si="11"/>
        <v/>
      </c>
      <c r="K223" s="105"/>
    </row>
    <row r="224" spans="2:11" ht="12.95" customHeight="1" x14ac:dyDescent="0.25">
      <c r="B224" s="45" t="str">
        <f>VLOOKUP(C224,SintéticoNC!$F$4:$G$83,2,FALSE)</f>
        <v>Luis Tibé</v>
      </c>
      <c r="C224" s="42" t="s">
        <v>196</v>
      </c>
      <c r="D224" s="23" t="s">
        <v>216</v>
      </c>
      <c r="E224" s="43" t="s">
        <v>7</v>
      </c>
      <c r="F224" s="50"/>
      <c r="G224" s="50">
        <f>I148*ÍndiceCorreçãoNC!$C$6</f>
        <v>0</v>
      </c>
      <c r="H224" s="50">
        <f t="shared" si="9"/>
        <v>0</v>
      </c>
      <c r="I224" s="50">
        <f t="shared" si="10"/>
        <v>93648.469469999996</v>
      </c>
      <c r="J224" s="106" t="str">
        <f t="shared" si="11"/>
        <v/>
      </c>
      <c r="K224" s="105"/>
    </row>
    <row r="225" spans="2:11" ht="12.95" customHeight="1" x14ac:dyDescent="0.25">
      <c r="B225" s="45" t="str">
        <f>VLOOKUP(C225,SintéticoNC!$F$4:$G$83,2,FALSE)</f>
        <v>Mara Rocha</v>
      </c>
      <c r="C225" s="42" t="s">
        <v>198</v>
      </c>
      <c r="D225" s="23" t="s">
        <v>216</v>
      </c>
      <c r="E225" s="43" t="s">
        <v>7</v>
      </c>
      <c r="F225" s="50"/>
      <c r="G225" s="50">
        <f>I149*ÍndiceCorreçãoNC!$C$6</f>
        <v>0</v>
      </c>
      <c r="H225" s="50">
        <f t="shared" si="9"/>
        <v>0</v>
      </c>
      <c r="I225" s="50">
        <f t="shared" si="10"/>
        <v>171185.3743</v>
      </c>
      <c r="J225" s="106" t="str">
        <f t="shared" si="11"/>
        <v/>
      </c>
      <c r="K225" s="105"/>
    </row>
    <row r="226" spans="2:11" ht="12.95" customHeight="1" x14ac:dyDescent="0.25">
      <c r="B226" s="45" t="str">
        <f>VLOOKUP(C226,SintéticoNC!$F$4:$G$83,2,FALSE)</f>
        <v>Marx Beltrão</v>
      </c>
      <c r="C226" s="42" t="s">
        <v>200</v>
      </c>
      <c r="D226" s="23" t="s">
        <v>216</v>
      </c>
      <c r="E226" s="43" t="s">
        <v>7</v>
      </c>
      <c r="F226" s="50"/>
      <c r="G226" s="50">
        <f>I150*ÍndiceCorreçãoNC!$C$6</f>
        <v>0</v>
      </c>
      <c r="H226" s="50">
        <f t="shared" si="9"/>
        <v>0</v>
      </c>
      <c r="I226" s="50">
        <f t="shared" si="10"/>
        <v>93648.469469999996</v>
      </c>
      <c r="J226" s="106" t="str">
        <f t="shared" si="11"/>
        <v/>
      </c>
      <c r="K226" s="105"/>
    </row>
    <row r="227" spans="2:11" ht="12.95" customHeight="1" x14ac:dyDescent="0.25">
      <c r="B227" s="45" t="str">
        <f>VLOOKUP(C227,SintéticoNC!$F$4:$G$83,2,FALSE)</f>
        <v>Perpétua Almeida</v>
      </c>
      <c r="C227" s="42" t="s">
        <v>202</v>
      </c>
      <c r="D227" s="23" t="s">
        <v>216</v>
      </c>
      <c r="E227" s="43" t="s">
        <v>7</v>
      </c>
      <c r="F227" s="50"/>
      <c r="G227" s="50">
        <f>I151*ÍndiceCorreçãoNC!$C$6</f>
        <v>0</v>
      </c>
      <c r="H227" s="50">
        <f t="shared" si="9"/>
        <v>0</v>
      </c>
      <c r="I227" s="50">
        <f t="shared" si="10"/>
        <v>194341.72057884</v>
      </c>
      <c r="J227" s="106" t="str">
        <f t="shared" si="11"/>
        <v/>
      </c>
      <c r="K227" s="105"/>
    </row>
    <row r="228" spans="2:11" ht="12.95" customHeight="1" x14ac:dyDescent="0.25">
      <c r="B228" s="45" t="str">
        <f>VLOOKUP(C228,SintéticoNC!$F$4:$G$83,2,FALSE)</f>
        <v>Sérgio Petecão</v>
      </c>
      <c r="C228" s="42" t="s">
        <v>204</v>
      </c>
      <c r="D228" s="23" t="s">
        <v>216</v>
      </c>
      <c r="E228" s="43" t="s">
        <v>7</v>
      </c>
      <c r="F228" s="50"/>
      <c r="G228" s="50">
        <f>I152*ÍndiceCorreçãoNC!$C$6</f>
        <v>0</v>
      </c>
      <c r="H228" s="50">
        <f t="shared" si="9"/>
        <v>0</v>
      </c>
      <c r="I228" s="50">
        <f t="shared" si="10"/>
        <v>133538.68957305999</v>
      </c>
      <c r="J228" s="106" t="str">
        <f t="shared" si="11"/>
        <v/>
      </c>
      <c r="K228" s="105"/>
    </row>
    <row r="229" spans="2:11" ht="12.95" customHeight="1" x14ac:dyDescent="0.25">
      <c r="B229" s="45" t="str">
        <f>VLOOKUP(C229,SintéticoNC!$F$4:$G$83,2,FALSE)</f>
        <v>Uldurico Junior</v>
      </c>
      <c r="C229" s="42" t="s">
        <v>206</v>
      </c>
      <c r="D229" s="23" t="s">
        <v>216</v>
      </c>
      <c r="E229" s="43" t="s">
        <v>7</v>
      </c>
      <c r="F229" s="50"/>
      <c r="G229" s="50">
        <f>I153*ÍndiceCorreçãoNC!$C$6</f>
        <v>0</v>
      </c>
      <c r="H229" s="50">
        <f t="shared" si="9"/>
        <v>0</v>
      </c>
      <c r="I229" s="50">
        <f t="shared" si="10"/>
        <v>141983.16339</v>
      </c>
      <c r="J229" s="106" t="str">
        <f t="shared" si="11"/>
        <v/>
      </c>
      <c r="K229" s="105"/>
    </row>
    <row r="230" spans="2:11" ht="12.95" customHeight="1" x14ac:dyDescent="0.25">
      <c r="B230" s="45" t="str">
        <f>VLOOKUP(C230,SintéticoNC!$F$4:$G$83,2,FALSE)</f>
        <v>Soraya Thronicke</v>
      </c>
      <c r="C230" s="42" t="s">
        <v>208</v>
      </c>
      <c r="D230" s="23" t="s">
        <v>216</v>
      </c>
      <c r="E230" s="43" t="s">
        <v>7</v>
      </c>
      <c r="F230" s="50"/>
      <c r="G230" s="50">
        <f>I154*ÍndiceCorreçãoNC!$C$6</f>
        <v>0</v>
      </c>
      <c r="H230" s="50">
        <f t="shared" si="9"/>
        <v>0</v>
      </c>
      <c r="I230" s="50">
        <f t="shared" si="10"/>
        <v>156080.78245</v>
      </c>
      <c r="J230" s="106" t="str">
        <f t="shared" si="11"/>
        <v/>
      </c>
      <c r="K230" s="105"/>
    </row>
    <row r="231" spans="2:11" ht="12.95" customHeight="1" x14ac:dyDescent="0.25">
      <c r="B231" s="45" t="str">
        <f>VLOOKUP(C231,SintéticoNC!$F$4:$G$83,2,FALSE)</f>
        <v>MCom</v>
      </c>
      <c r="C231" s="42" t="s">
        <v>211</v>
      </c>
      <c r="D231" s="23" t="s">
        <v>216</v>
      </c>
      <c r="E231" s="43" t="s">
        <v>7</v>
      </c>
      <c r="F231" s="50"/>
      <c r="G231" s="50">
        <f>I155*ÍndiceCorreçãoNC!$C$6</f>
        <v>0</v>
      </c>
      <c r="H231" s="50">
        <f t="shared" si="9"/>
        <v>0</v>
      </c>
      <c r="I231" s="50">
        <f t="shared" si="10"/>
        <v>503486.39500000002</v>
      </c>
      <c r="J231" s="106" t="str">
        <f t="shared" si="11"/>
        <v/>
      </c>
      <c r="K231" s="105"/>
    </row>
    <row r="232" spans="2:11" ht="12.95" customHeight="1" x14ac:dyDescent="0.25">
      <c r="B232" s="45" t="str">
        <f>VLOOKUP(C232,SintéticoNC!$F$4:$G$83,2,FALSE)</f>
        <v>Cabo Junio Amaral</v>
      </c>
      <c r="C232" s="42" t="s">
        <v>213</v>
      </c>
      <c r="D232" s="23" t="s">
        <v>216</v>
      </c>
      <c r="E232" s="43" t="s">
        <v>7</v>
      </c>
      <c r="F232" s="50"/>
      <c r="G232" s="50">
        <f>I156*ÍndiceCorreçãoNC!$C$6</f>
        <v>0</v>
      </c>
      <c r="H232" s="50">
        <f t="shared" si="9"/>
        <v>0</v>
      </c>
      <c r="I232" s="50">
        <f t="shared" si="10"/>
        <v>93648.469469999996</v>
      </c>
      <c r="J232" s="106" t="str">
        <f t="shared" si="11"/>
        <v/>
      </c>
      <c r="K232" s="105"/>
    </row>
    <row r="233" spans="2:11" ht="12.95" customHeight="1" x14ac:dyDescent="0.25">
      <c r="B233" s="45" t="str">
        <f>VLOOKUP(C233,SintéticoNC!$F$4:$G$83,2,FALSE)</f>
        <v>Leur Lomanto</v>
      </c>
      <c r="C233" s="42" t="s">
        <v>215</v>
      </c>
      <c r="D233" s="23" t="s">
        <v>216</v>
      </c>
      <c r="E233" s="43" t="s">
        <v>7</v>
      </c>
      <c r="F233" s="50"/>
      <c r="G233" s="50">
        <f>I157*ÍndiceCorreçãoNC!$C$6</f>
        <v>0</v>
      </c>
      <c r="H233" s="50">
        <f t="shared" si="9"/>
        <v>0</v>
      </c>
      <c r="I233" s="50">
        <f t="shared" si="10"/>
        <v>28195.238120000002</v>
      </c>
      <c r="J233" s="106" t="str">
        <f t="shared" si="11"/>
        <v/>
      </c>
      <c r="K233" s="105"/>
    </row>
    <row r="234" spans="2:11" ht="12.95" customHeight="1" x14ac:dyDescent="0.25">
      <c r="B234" s="45" t="str">
        <f>VLOOKUP(C234,SintéticoNC!$F$4:$G$83,2,FALSE)</f>
        <v>Bancada de Alagoas</v>
      </c>
      <c r="C234" s="42" t="s">
        <v>141</v>
      </c>
      <c r="D234" s="23" t="s">
        <v>153</v>
      </c>
      <c r="E234" s="43" t="s">
        <v>8</v>
      </c>
      <c r="F234" s="50"/>
      <c r="G234" s="50">
        <f>I158*ÍndiceCorreçãoNC!$C$7</f>
        <v>0</v>
      </c>
      <c r="H234" s="50">
        <f t="shared" si="9"/>
        <v>0</v>
      </c>
      <c r="I234" s="50">
        <f t="shared" si="10"/>
        <v>1814033.9908278328</v>
      </c>
      <c r="J234" s="106" t="str">
        <f t="shared" si="11"/>
        <v/>
      </c>
      <c r="K234" s="105"/>
    </row>
    <row r="235" spans="2:11" ht="12.95" customHeight="1" x14ac:dyDescent="0.25">
      <c r="B235" s="45" t="str">
        <f>VLOOKUP(C235,SintéticoNC!$F$4:$G$83,2,FALSE)</f>
        <v>Bancada de Alagoas</v>
      </c>
      <c r="C235" s="42" t="s">
        <v>142</v>
      </c>
      <c r="D235" s="23" t="s">
        <v>153</v>
      </c>
      <c r="E235" s="43" t="s">
        <v>8</v>
      </c>
      <c r="F235" s="50"/>
      <c r="G235" s="50">
        <f>I159*ÍndiceCorreçãoNC!$C$7</f>
        <v>0</v>
      </c>
      <c r="H235" s="50">
        <f t="shared" si="9"/>
        <v>0</v>
      </c>
      <c r="I235" s="50">
        <f t="shared" si="10"/>
        <v>528056.53107599996</v>
      </c>
      <c r="J235" s="106" t="str">
        <f t="shared" si="11"/>
        <v/>
      </c>
      <c r="K235" s="105"/>
    </row>
    <row r="236" spans="2:11" ht="12.95" customHeight="1" x14ac:dyDescent="0.25">
      <c r="B236" s="45" t="str">
        <f>VLOOKUP(C236,SintéticoNC!$F$4:$G$83,2,FALSE)</f>
        <v>Bancada de Alagoas</v>
      </c>
      <c r="C236" s="42" t="s">
        <v>143</v>
      </c>
      <c r="D236" s="23" t="s">
        <v>153</v>
      </c>
      <c r="E236" s="43" t="s">
        <v>8</v>
      </c>
      <c r="F236" s="50"/>
      <c r="G236" s="50">
        <f>I160*ÍndiceCorreçãoNC!$C$7</f>
        <v>0</v>
      </c>
      <c r="H236" s="50">
        <f t="shared" si="9"/>
        <v>0</v>
      </c>
      <c r="I236" s="50">
        <f t="shared" si="10"/>
        <v>5262250.4896554798</v>
      </c>
      <c r="J236" s="106" t="str">
        <f t="shared" si="11"/>
        <v/>
      </c>
      <c r="K236" s="105"/>
    </row>
    <row r="237" spans="2:11" ht="12.95" customHeight="1" x14ac:dyDescent="0.25">
      <c r="B237" s="45" t="str">
        <f>VLOOKUP(C237,SintéticoNC!$F$4:$G$83,2,FALSE)</f>
        <v>Bancada de Minas Gerais</v>
      </c>
      <c r="C237" s="42" t="s">
        <v>144</v>
      </c>
      <c r="D237" s="23" t="s">
        <v>153</v>
      </c>
      <c r="E237" s="43" t="s">
        <v>8</v>
      </c>
      <c r="F237" s="50"/>
      <c r="G237" s="50">
        <f>I161*ÍndiceCorreçãoNC!$C$7</f>
        <v>0</v>
      </c>
      <c r="H237" s="50">
        <f t="shared" si="9"/>
        <v>0</v>
      </c>
      <c r="I237" s="50">
        <f t="shared" si="10"/>
        <v>13370850.949225677</v>
      </c>
      <c r="J237" s="106" t="str">
        <f t="shared" si="11"/>
        <v/>
      </c>
      <c r="K237" s="105"/>
    </row>
    <row r="238" spans="2:11" ht="12.95" customHeight="1" x14ac:dyDescent="0.25">
      <c r="B238" s="45" t="str">
        <f>VLOOKUP(C238,SintéticoNC!$F$4:$G$83,2,FALSE)</f>
        <v>Bancada de São Paulo</v>
      </c>
      <c r="C238" s="42" t="s">
        <v>145</v>
      </c>
      <c r="D238" s="23" t="s">
        <v>153</v>
      </c>
      <c r="E238" s="43" t="s">
        <v>8</v>
      </c>
      <c r="F238" s="50"/>
      <c r="G238" s="50">
        <f>I162*ÍndiceCorreçãoNC!$C$7</f>
        <v>0</v>
      </c>
      <c r="H238" s="50">
        <f t="shared" si="9"/>
        <v>0</v>
      </c>
      <c r="I238" s="50">
        <f t="shared" si="10"/>
        <v>1555533.3010259799</v>
      </c>
      <c r="J238" s="106" t="str">
        <f t="shared" si="11"/>
        <v/>
      </c>
      <c r="K238" s="105"/>
    </row>
    <row r="239" spans="2:11" ht="12.95" customHeight="1" x14ac:dyDescent="0.25">
      <c r="B239" s="45" t="str">
        <f>VLOOKUP(C239,SintéticoNC!$F$4:$G$83,2,FALSE)</f>
        <v>Bancada do Espírito Santo</v>
      </c>
      <c r="C239" s="42" t="s">
        <v>146</v>
      </c>
      <c r="D239" s="23" t="s">
        <v>153</v>
      </c>
      <c r="E239" s="43" t="s">
        <v>8</v>
      </c>
      <c r="F239" s="50"/>
      <c r="G239" s="50">
        <f>I163*ÍndiceCorreçãoNC!$C$7</f>
        <v>0</v>
      </c>
      <c r="H239" s="50">
        <f t="shared" si="9"/>
        <v>0</v>
      </c>
      <c r="I239" s="50">
        <f t="shared" si="10"/>
        <v>1420853.1473770875</v>
      </c>
      <c r="J239" s="106" t="str">
        <f t="shared" si="11"/>
        <v/>
      </c>
      <c r="K239" s="105"/>
    </row>
    <row r="240" spans="2:11" ht="12.95" customHeight="1" x14ac:dyDescent="0.25">
      <c r="B240" s="45" t="str">
        <f>VLOOKUP(C240,SintéticoNC!$F$4:$G$83,2,FALSE)</f>
        <v>Bancada do Espírito Santo</v>
      </c>
      <c r="C240" s="42" t="s">
        <v>147</v>
      </c>
      <c r="D240" s="23" t="s">
        <v>153</v>
      </c>
      <c r="E240" s="43" t="s">
        <v>8</v>
      </c>
      <c r="F240" s="50"/>
      <c r="G240" s="50">
        <f>I164*ÍndiceCorreçãoNC!$C$7</f>
        <v>0</v>
      </c>
      <c r="H240" s="50">
        <f t="shared" si="9"/>
        <v>0</v>
      </c>
      <c r="I240" s="50">
        <f t="shared" si="10"/>
        <v>2260653.9135500002</v>
      </c>
      <c r="J240" s="106" t="str">
        <f t="shared" si="11"/>
        <v/>
      </c>
      <c r="K240" s="105"/>
    </row>
    <row r="241" spans="2:11" ht="12.95" customHeight="1" x14ac:dyDescent="0.25">
      <c r="B241" s="45" t="str">
        <f>VLOOKUP(C241,SintéticoNC!$F$4:$G$83,2,FALSE)</f>
        <v>Bancada do Espírito Santo</v>
      </c>
      <c r="C241" s="42" t="s">
        <v>148</v>
      </c>
      <c r="D241" s="23" t="s">
        <v>153</v>
      </c>
      <c r="E241" s="43" t="s">
        <v>8</v>
      </c>
      <c r="F241" s="50"/>
      <c r="G241" s="50">
        <f>I165*ÍndiceCorreçãoNC!$C$7</f>
        <v>0</v>
      </c>
      <c r="H241" s="50">
        <f t="shared" si="9"/>
        <v>0</v>
      </c>
      <c r="I241" s="50">
        <f t="shared" si="10"/>
        <v>2771189.1180799999</v>
      </c>
      <c r="J241" s="106" t="str">
        <f t="shared" si="11"/>
        <v/>
      </c>
      <c r="K241" s="105"/>
    </row>
    <row r="242" spans="2:11" ht="12.95" customHeight="1" x14ac:dyDescent="0.25">
      <c r="B242" s="45" t="str">
        <f>VLOOKUP(C242,SintéticoNC!$F$4:$G$83,2,FALSE)</f>
        <v>Bancada do Maranhão</v>
      </c>
      <c r="C242" s="42" t="s">
        <v>149</v>
      </c>
      <c r="D242" s="23" t="s">
        <v>153</v>
      </c>
      <c r="E242" s="43" t="s">
        <v>8</v>
      </c>
      <c r="F242" s="50"/>
      <c r="G242" s="50">
        <f>I166*ÍndiceCorreçãoNC!$C$7</f>
        <v>0</v>
      </c>
      <c r="H242" s="50">
        <f t="shared" si="9"/>
        <v>0</v>
      </c>
      <c r="I242" s="50">
        <f t="shared" si="10"/>
        <v>755229.59250000003</v>
      </c>
      <c r="J242" s="106" t="str">
        <f t="shared" si="11"/>
        <v/>
      </c>
      <c r="K242" s="105"/>
    </row>
    <row r="243" spans="2:11" ht="12.95" customHeight="1" x14ac:dyDescent="0.25">
      <c r="B243" s="45" t="str">
        <f>VLOOKUP(C243,SintéticoNC!$F$4:$G$83,2,FALSE)</f>
        <v>Bancada do Pará</v>
      </c>
      <c r="C243" s="42" t="s">
        <v>152</v>
      </c>
      <c r="D243" s="23" t="s">
        <v>153</v>
      </c>
      <c r="E243" s="43" t="s">
        <v>8</v>
      </c>
      <c r="F243" s="50"/>
      <c r="G243" s="50">
        <f>I167*ÍndiceCorreçãoNC!$C$7</f>
        <v>0</v>
      </c>
      <c r="H243" s="50">
        <f t="shared" si="9"/>
        <v>0</v>
      </c>
      <c r="I243" s="50">
        <f t="shared" si="10"/>
        <v>493416.66710000002</v>
      </c>
      <c r="J243" s="106" t="str">
        <f t="shared" si="11"/>
        <v/>
      </c>
      <c r="K243" s="105"/>
    </row>
    <row r="244" spans="2:11" ht="12.95" customHeight="1" x14ac:dyDescent="0.25">
      <c r="B244" s="45" t="str">
        <f>VLOOKUP(C244,SintéticoNC!$F$4:$G$83,2,FALSE)</f>
        <v>Bancada do Pará</v>
      </c>
      <c r="C244" s="42" t="s">
        <v>151</v>
      </c>
      <c r="D244" s="23" t="s">
        <v>153</v>
      </c>
      <c r="E244" s="43" t="s">
        <v>8</v>
      </c>
      <c r="F244" s="50"/>
      <c r="G244" s="50">
        <f>I168*ÍndiceCorreçãoNC!$C$7</f>
        <v>0</v>
      </c>
      <c r="H244" s="50">
        <f t="shared" si="9"/>
        <v>0</v>
      </c>
      <c r="I244" s="50">
        <f t="shared" si="10"/>
        <v>837197.17760599998</v>
      </c>
      <c r="J244" s="106" t="str">
        <f t="shared" si="11"/>
        <v/>
      </c>
      <c r="K244" s="105"/>
    </row>
    <row r="245" spans="2:11" ht="12.95" customHeight="1" x14ac:dyDescent="0.25">
      <c r="B245" s="45" t="str">
        <f>VLOOKUP(C245,SintéticoNC!$F$4:$G$83,2,FALSE)</f>
        <v>Cabo Junio Amaral</v>
      </c>
      <c r="C245" s="42" t="s">
        <v>150</v>
      </c>
      <c r="D245" s="23" t="s">
        <v>153</v>
      </c>
      <c r="E245" s="43" t="s">
        <v>8</v>
      </c>
      <c r="F245" s="50"/>
      <c r="G245" s="50">
        <f>I169*ÍndiceCorreçãoNC!$C$7</f>
        <v>0</v>
      </c>
      <c r="H245" s="50">
        <f t="shared" si="9"/>
        <v>0</v>
      </c>
      <c r="I245" s="50">
        <f t="shared" si="10"/>
        <v>208443.36752999999</v>
      </c>
      <c r="J245" s="106" t="str">
        <f t="shared" si="11"/>
        <v/>
      </c>
      <c r="K245" s="105"/>
    </row>
    <row r="246" spans="2:11" ht="12.95" customHeight="1" x14ac:dyDescent="0.25">
      <c r="B246" s="45" t="str">
        <f>VLOOKUP(C246,SintéticoNC!$F$4:$G$83,2,FALSE)</f>
        <v>Celso Sabino</v>
      </c>
      <c r="C246" s="42" t="s">
        <v>44</v>
      </c>
      <c r="D246" s="23" t="s">
        <v>153</v>
      </c>
      <c r="E246" s="43" t="s">
        <v>8</v>
      </c>
      <c r="F246" s="50"/>
      <c r="G246" s="50">
        <f>I170*ÍndiceCorreçãoNC!$C$7</f>
        <v>0</v>
      </c>
      <c r="H246" s="50">
        <f t="shared" si="9"/>
        <v>0</v>
      </c>
      <c r="I246" s="50">
        <f t="shared" si="10"/>
        <v>97875.449220310911</v>
      </c>
      <c r="J246" s="106" t="str">
        <f t="shared" si="11"/>
        <v/>
      </c>
      <c r="K246" s="105"/>
    </row>
    <row r="247" spans="2:11" ht="12.95" customHeight="1" x14ac:dyDescent="0.25">
      <c r="B247" s="45" t="str">
        <f>VLOOKUP(C247,SintéticoNC!$F$4:$G$83,2,FALSE)</f>
        <v>Coronel Chrisóstomo</v>
      </c>
      <c r="C247" s="42" t="s">
        <v>47</v>
      </c>
      <c r="D247" s="23" t="s">
        <v>153</v>
      </c>
      <c r="E247" s="43" t="s">
        <v>8</v>
      </c>
      <c r="F247" s="50"/>
      <c r="G247" s="50">
        <f>I171*ÍndiceCorreçãoNC!$C$7</f>
        <v>0</v>
      </c>
      <c r="H247" s="50">
        <f t="shared" si="9"/>
        <v>0</v>
      </c>
      <c r="I247" s="50">
        <f t="shared" si="10"/>
        <v>139465.73141499999</v>
      </c>
      <c r="J247" s="106" t="str">
        <f t="shared" si="11"/>
        <v/>
      </c>
      <c r="K247" s="105"/>
    </row>
    <row r="248" spans="2:11" ht="12.95" customHeight="1" x14ac:dyDescent="0.25">
      <c r="B248" s="45" t="str">
        <f>VLOOKUP(C248,SintéticoNC!$F$4:$G$83,2,FALSE)</f>
        <v>Dimas Fabiano</v>
      </c>
      <c r="C248" s="42" t="s">
        <v>50</v>
      </c>
      <c r="D248" s="23" t="s">
        <v>153</v>
      </c>
      <c r="E248" s="43" t="s">
        <v>8</v>
      </c>
      <c r="F248" s="50"/>
      <c r="G248" s="50">
        <f>I172*ÍndiceCorreçãoNC!$C$7</f>
        <v>0</v>
      </c>
      <c r="H248" s="50">
        <f t="shared" si="9"/>
        <v>0</v>
      </c>
      <c r="I248" s="50">
        <f t="shared" si="10"/>
        <v>208443.36752999999</v>
      </c>
      <c r="J248" s="106" t="str">
        <f t="shared" si="11"/>
        <v/>
      </c>
      <c r="K248" s="105"/>
    </row>
    <row r="249" spans="2:11" ht="12.95" customHeight="1" x14ac:dyDescent="0.25">
      <c r="B249" s="45" t="str">
        <f>VLOOKUP(C249,SintéticoNC!$F$4:$G$83,2,FALSE)</f>
        <v>Edna Henrique</v>
      </c>
      <c r="C249" s="42" t="s">
        <v>53</v>
      </c>
      <c r="D249" s="23" t="s">
        <v>153</v>
      </c>
      <c r="E249" s="43" t="s">
        <v>8</v>
      </c>
      <c r="F249" s="50"/>
      <c r="G249" s="50">
        <f>I173*ÍndiceCorreçãoNC!$C$7</f>
        <v>0</v>
      </c>
      <c r="H249" s="50">
        <f t="shared" si="9"/>
        <v>0</v>
      </c>
      <c r="I249" s="50">
        <f t="shared" si="10"/>
        <v>209450.34031999999</v>
      </c>
      <c r="J249" s="106" t="str">
        <f t="shared" si="11"/>
        <v/>
      </c>
      <c r="K249" s="105"/>
    </row>
    <row r="250" spans="2:11" ht="12.95" customHeight="1" x14ac:dyDescent="0.25">
      <c r="B250" s="45" t="str">
        <f>VLOOKUP(C250,SintéticoNC!$F$4:$G$83,2,FALSE)</f>
        <v>Elias Vaz</v>
      </c>
      <c r="C250" s="42" t="s">
        <v>56</v>
      </c>
      <c r="D250" s="23" t="s">
        <v>153</v>
      </c>
      <c r="E250" s="43" t="s">
        <v>8</v>
      </c>
      <c r="F250" s="50"/>
      <c r="G250" s="50">
        <f>I174*ÍndiceCorreçãoNC!$C$7</f>
        <v>0</v>
      </c>
      <c r="H250" s="50">
        <f t="shared" si="9"/>
        <v>0</v>
      </c>
      <c r="I250" s="50">
        <f t="shared" si="10"/>
        <v>402789.11599999998</v>
      </c>
      <c r="J250" s="106" t="str">
        <f t="shared" si="11"/>
        <v/>
      </c>
      <c r="K250" s="105"/>
    </row>
    <row r="251" spans="2:11" ht="12.95" customHeight="1" x14ac:dyDescent="0.25">
      <c r="B251" s="45" t="str">
        <f>VLOOKUP(C251,SintéticoNC!$F$4:$G$83,2,FALSE)</f>
        <v>Expedito Netto</v>
      </c>
      <c r="C251" s="42" t="s">
        <v>59</v>
      </c>
      <c r="D251" s="23" t="s">
        <v>153</v>
      </c>
      <c r="E251" s="43" t="s">
        <v>8</v>
      </c>
      <c r="F251" s="50"/>
      <c r="G251" s="50">
        <f>I175*ÍndiceCorreçãoNC!$C$7</f>
        <v>0</v>
      </c>
      <c r="H251" s="50">
        <f t="shared" si="9"/>
        <v>0</v>
      </c>
      <c r="I251" s="50">
        <f t="shared" si="10"/>
        <v>283300.95943927957</v>
      </c>
      <c r="J251" s="106" t="str">
        <f t="shared" si="11"/>
        <v/>
      </c>
      <c r="K251" s="105"/>
    </row>
    <row r="252" spans="2:11" ht="12.95" customHeight="1" x14ac:dyDescent="0.25">
      <c r="B252" s="45" t="str">
        <f>VLOOKUP(C252,SintéticoNC!$F$4:$G$83,2,FALSE)</f>
        <v>Fabio Reis</v>
      </c>
      <c r="C252" s="42" t="s">
        <v>62</v>
      </c>
      <c r="D252" s="23" t="s">
        <v>153</v>
      </c>
      <c r="E252" s="43" t="s">
        <v>8</v>
      </c>
      <c r="F252" s="50"/>
      <c r="G252" s="50">
        <f>I176*ÍndiceCorreçãoNC!$C$7</f>
        <v>0</v>
      </c>
      <c r="H252" s="50">
        <f t="shared" si="9"/>
        <v>0</v>
      </c>
      <c r="I252" s="50">
        <f t="shared" si="10"/>
        <v>82156.865781336295</v>
      </c>
      <c r="J252" s="106" t="str">
        <f t="shared" si="11"/>
        <v/>
      </c>
      <c r="K252" s="105"/>
    </row>
    <row r="253" spans="2:11" ht="12.95" customHeight="1" x14ac:dyDescent="0.25">
      <c r="B253" s="45" t="str">
        <f>VLOOKUP(C253,SintéticoNC!$F$4:$G$83,2,FALSE)</f>
        <v>Flavia Arruda</v>
      </c>
      <c r="C253" s="42" t="s">
        <v>65</v>
      </c>
      <c r="D253" s="23" t="s">
        <v>153</v>
      </c>
      <c r="E253" s="43" t="s">
        <v>8</v>
      </c>
      <c r="F253" s="50"/>
      <c r="G253" s="50">
        <f>I177*ÍndiceCorreçãoNC!$C$7</f>
        <v>0</v>
      </c>
      <c r="H253" s="50">
        <f t="shared" si="9"/>
        <v>0</v>
      </c>
      <c r="I253" s="50">
        <f t="shared" si="10"/>
        <v>887563.63045465504</v>
      </c>
      <c r="J253" s="106" t="str">
        <f t="shared" si="11"/>
        <v/>
      </c>
      <c r="K253" s="105"/>
    </row>
    <row r="254" spans="2:11" ht="12.95" customHeight="1" x14ac:dyDescent="0.25">
      <c r="B254" s="45" t="str">
        <f>VLOOKUP(C254,SintéticoNC!$F$4:$G$83,2,FALSE)</f>
        <v>Flaviano Melo</v>
      </c>
      <c r="C254" s="42" t="s">
        <v>68</v>
      </c>
      <c r="D254" s="23" t="s">
        <v>153</v>
      </c>
      <c r="E254" s="43" t="s">
        <v>8</v>
      </c>
      <c r="F254" s="50"/>
      <c r="G254" s="50">
        <f>I178*ÍndiceCorreçãoNC!$C$7</f>
        <v>0</v>
      </c>
      <c r="H254" s="50">
        <f t="shared" si="9"/>
        <v>0</v>
      </c>
      <c r="I254" s="50">
        <f t="shared" si="10"/>
        <v>506301.91106029582</v>
      </c>
      <c r="J254" s="106" t="str">
        <f t="shared" si="11"/>
        <v/>
      </c>
      <c r="K254" s="105"/>
    </row>
    <row r="255" spans="2:11" ht="12.95" customHeight="1" x14ac:dyDescent="0.25">
      <c r="B255" s="45" t="str">
        <f>VLOOKUP(C255,SintéticoNC!$F$4:$G$83,2,FALSE)</f>
        <v>General Girão</v>
      </c>
      <c r="C255" s="42" t="s">
        <v>71</v>
      </c>
      <c r="D255" s="23" t="s">
        <v>153</v>
      </c>
      <c r="E255" s="43" t="s">
        <v>8</v>
      </c>
      <c r="F255" s="50"/>
      <c r="G255" s="50">
        <f>I179*ÍndiceCorreçãoNC!$C$7</f>
        <v>0</v>
      </c>
      <c r="H255" s="50">
        <f t="shared" si="9"/>
        <v>0</v>
      </c>
      <c r="I255" s="50">
        <f t="shared" si="10"/>
        <v>208443.36752999999</v>
      </c>
      <c r="J255" s="106" t="str">
        <f t="shared" si="11"/>
        <v/>
      </c>
      <c r="K255" s="105"/>
    </row>
    <row r="256" spans="2:11" ht="12.95" customHeight="1" x14ac:dyDescent="0.25">
      <c r="B256" s="45" t="str">
        <f>VLOOKUP(C256,SintéticoNC!$F$4:$G$83,2,FALSE)</f>
        <v>João Roma</v>
      </c>
      <c r="C256" s="42" t="s">
        <v>74</v>
      </c>
      <c r="D256" s="23" t="s">
        <v>153</v>
      </c>
      <c r="E256" s="43" t="s">
        <v>8</v>
      </c>
      <c r="F256" s="50"/>
      <c r="G256" s="50">
        <f>I180*ÍndiceCorreçãoNC!$C$7</f>
        <v>0</v>
      </c>
      <c r="H256" s="50">
        <f t="shared" si="9"/>
        <v>0</v>
      </c>
      <c r="I256" s="50">
        <f t="shared" si="10"/>
        <v>72671.020983889903</v>
      </c>
      <c r="J256" s="106" t="str">
        <f t="shared" si="11"/>
        <v/>
      </c>
      <c r="K256" s="105"/>
    </row>
    <row r="257" spans="2:11" ht="12.95" customHeight="1" x14ac:dyDescent="0.25">
      <c r="B257" s="45" t="str">
        <f>VLOOKUP(C257,SintéticoNC!$F$4:$G$83,2,FALSE)</f>
        <v>Joenia Wapichana</v>
      </c>
      <c r="C257" s="42" t="s">
        <v>77</v>
      </c>
      <c r="D257" s="23" t="s">
        <v>153</v>
      </c>
      <c r="E257" s="43" t="s">
        <v>8</v>
      </c>
      <c r="F257" s="50"/>
      <c r="G257" s="50">
        <f>I181*ÍndiceCorreçãoNC!$C$7</f>
        <v>0</v>
      </c>
      <c r="H257" s="50">
        <f t="shared" si="9"/>
        <v>0</v>
      </c>
      <c r="I257" s="50">
        <f t="shared" si="10"/>
        <v>9161.8613719917994</v>
      </c>
      <c r="J257" s="106" t="str">
        <f t="shared" si="11"/>
        <v/>
      </c>
      <c r="K257" s="105"/>
    </row>
    <row r="258" spans="2:11" ht="12.95" customHeight="1" x14ac:dyDescent="0.25">
      <c r="B258" s="45" t="str">
        <f>VLOOKUP(C258,SintéticoNC!$F$4:$G$83,2,FALSE)</f>
        <v>José Nunes</v>
      </c>
      <c r="C258" s="42" t="s">
        <v>80</v>
      </c>
      <c r="D258" s="23" t="s">
        <v>153</v>
      </c>
      <c r="E258" s="43" t="s">
        <v>8</v>
      </c>
      <c r="F258" s="50"/>
      <c r="G258" s="50">
        <f>I182*ÍndiceCorreçãoNC!$C$7</f>
        <v>0</v>
      </c>
      <c r="H258" s="50">
        <f t="shared" si="9"/>
        <v>0</v>
      </c>
      <c r="I258" s="50">
        <f t="shared" si="10"/>
        <v>208443.36752999999</v>
      </c>
      <c r="J258" s="106" t="str">
        <f t="shared" si="11"/>
        <v/>
      </c>
      <c r="K258" s="105"/>
    </row>
    <row r="259" spans="2:11" ht="12.95" customHeight="1" x14ac:dyDescent="0.25">
      <c r="B259" s="45" t="str">
        <f>VLOOKUP(C259,SintéticoNC!$F$4:$G$83,2,FALSE)</f>
        <v>Josivaldo JP</v>
      </c>
      <c r="C259" s="42" t="s">
        <v>83</v>
      </c>
      <c r="D259" s="23" t="s">
        <v>153</v>
      </c>
      <c r="E259" s="43" t="s">
        <v>8</v>
      </c>
      <c r="F259" s="50"/>
      <c r="G259" s="50">
        <f>I183*ÍndiceCorreçãoNC!$C$7</f>
        <v>0</v>
      </c>
      <c r="H259" s="50">
        <f t="shared" si="9"/>
        <v>0</v>
      </c>
      <c r="I259" s="50">
        <f t="shared" si="10"/>
        <v>102711.22457999999</v>
      </c>
      <c r="J259" s="106" t="str">
        <f t="shared" si="11"/>
        <v/>
      </c>
      <c r="K259" s="105"/>
    </row>
    <row r="260" spans="2:11" ht="12.95" customHeight="1" x14ac:dyDescent="0.25">
      <c r="B260" s="45" t="str">
        <f>VLOOKUP(C260,SintéticoNC!$F$4:$G$83,2,FALSE)</f>
        <v>Junior Lourenço</v>
      </c>
      <c r="C260" s="42" t="s">
        <v>86</v>
      </c>
      <c r="D260" s="23" t="s">
        <v>153</v>
      </c>
      <c r="E260" s="43" t="s">
        <v>8</v>
      </c>
      <c r="F260" s="50"/>
      <c r="G260" s="50">
        <f>I184*ÍndiceCorreçãoNC!$C$7</f>
        <v>0</v>
      </c>
      <c r="H260" s="50">
        <f t="shared" si="9"/>
        <v>0</v>
      </c>
      <c r="I260" s="50">
        <f t="shared" si="10"/>
        <v>347405.61255000002</v>
      </c>
      <c r="J260" s="106" t="str">
        <f t="shared" si="11"/>
        <v/>
      </c>
      <c r="K260" s="105"/>
    </row>
    <row r="261" spans="2:11" ht="12.95" customHeight="1" x14ac:dyDescent="0.25">
      <c r="B261" s="45" t="str">
        <f>VLOOKUP(C261,SintéticoNC!$F$4:$G$83,2,FALSE)</f>
        <v>Leo de Brito</v>
      </c>
      <c r="C261" s="42" t="s">
        <v>89</v>
      </c>
      <c r="D261" s="23" t="s">
        <v>153</v>
      </c>
      <c r="E261" s="43" t="s">
        <v>8</v>
      </c>
      <c r="F261" s="50"/>
      <c r="G261" s="50">
        <f>I185*ÍndiceCorreçãoNC!$C$7</f>
        <v>0</v>
      </c>
      <c r="H261" s="50">
        <f t="shared" si="9"/>
        <v>0</v>
      </c>
      <c r="I261" s="50">
        <f t="shared" si="10"/>
        <v>432998.29969999997</v>
      </c>
      <c r="J261" s="106" t="str">
        <f t="shared" si="11"/>
        <v/>
      </c>
      <c r="K261" s="105"/>
    </row>
    <row r="262" spans="2:11" ht="12.95" customHeight="1" x14ac:dyDescent="0.25">
      <c r="B262" s="45" t="str">
        <f>VLOOKUP(C262,SintéticoNC!$F$4:$G$83,2,FALSE)</f>
        <v>Leur Lomanto</v>
      </c>
      <c r="C262" s="42" t="s">
        <v>92</v>
      </c>
      <c r="D262" s="23" t="s">
        <v>153</v>
      </c>
      <c r="E262" s="43" t="s">
        <v>8</v>
      </c>
      <c r="F262" s="50"/>
      <c r="G262" s="50">
        <f>I186*ÍndiceCorreçãoNC!$C$7</f>
        <v>0</v>
      </c>
      <c r="H262" s="50">
        <f t="shared" si="9"/>
        <v>0</v>
      </c>
      <c r="I262" s="50">
        <f t="shared" si="10"/>
        <v>66563.217456416998</v>
      </c>
      <c r="J262" s="106" t="str">
        <f t="shared" si="11"/>
        <v/>
      </c>
      <c r="K262" s="105"/>
    </row>
    <row r="263" spans="2:11" ht="12.95" customHeight="1" x14ac:dyDescent="0.25">
      <c r="B263" s="45" t="str">
        <f>VLOOKUP(C263,SintéticoNC!$F$4:$G$83,2,FALSE)</f>
        <v>Luciano Bivar</v>
      </c>
      <c r="C263" s="42" t="s">
        <v>95</v>
      </c>
      <c r="D263" s="23" t="s">
        <v>153</v>
      </c>
      <c r="E263" s="43" t="s">
        <v>8</v>
      </c>
      <c r="F263" s="50"/>
      <c r="G263" s="50">
        <f>I187*ÍndiceCorreçãoNC!$C$7</f>
        <v>0</v>
      </c>
      <c r="H263" s="50">
        <f t="shared" si="9"/>
        <v>0</v>
      </c>
      <c r="I263" s="50">
        <f t="shared" si="10"/>
        <v>2492.2979341616001</v>
      </c>
      <c r="J263" s="106" t="str">
        <f t="shared" si="11"/>
        <v/>
      </c>
      <c r="K263" s="105"/>
    </row>
    <row r="264" spans="2:11" ht="12.95" customHeight="1" x14ac:dyDescent="0.25">
      <c r="B264" s="45" t="str">
        <f>VLOOKUP(C264,SintéticoNC!$F$4:$G$83,2,FALSE)</f>
        <v>Luis Tibé</v>
      </c>
      <c r="C264" s="42" t="s">
        <v>98</v>
      </c>
      <c r="D264" s="23" t="s">
        <v>153</v>
      </c>
      <c r="E264" s="43" t="s">
        <v>8</v>
      </c>
      <c r="F264" s="50"/>
      <c r="G264" s="50">
        <f>I188*ÍndiceCorreçãoNC!$C$7</f>
        <v>0</v>
      </c>
      <c r="H264" s="50">
        <f t="shared" si="9"/>
        <v>0</v>
      </c>
      <c r="I264" s="50">
        <f t="shared" si="10"/>
        <v>208443.36752999999</v>
      </c>
      <c r="J264" s="106" t="str">
        <f t="shared" si="11"/>
        <v/>
      </c>
      <c r="K264" s="105"/>
    </row>
    <row r="265" spans="2:11" ht="12.95" customHeight="1" x14ac:dyDescent="0.25">
      <c r="B265" s="45" t="str">
        <f>VLOOKUP(C265,SintéticoNC!$F$4:$G$83,2,FALSE)</f>
        <v>Mara Rocha</v>
      </c>
      <c r="C265" s="42" t="s">
        <v>101</v>
      </c>
      <c r="D265" s="23" t="s">
        <v>153</v>
      </c>
      <c r="E265" s="43" t="s">
        <v>8</v>
      </c>
      <c r="F265" s="50"/>
      <c r="G265" s="50">
        <f>I189*ÍndiceCorreçãoNC!$C$7</f>
        <v>0</v>
      </c>
      <c r="H265" s="50">
        <f t="shared" si="9"/>
        <v>0</v>
      </c>
      <c r="I265" s="50">
        <f t="shared" si="10"/>
        <v>411222.61381352897</v>
      </c>
      <c r="J265" s="106" t="str">
        <f t="shared" si="11"/>
        <v/>
      </c>
      <c r="K265" s="105"/>
    </row>
    <row r="266" spans="2:11" ht="12.95" customHeight="1" x14ac:dyDescent="0.25">
      <c r="B266" s="45" t="str">
        <f>VLOOKUP(C266,SintéticoNC!$F$4:$G$83,2,FALSE)</f>
        <v>Marx Beltrão</v>
      </c>
      <c r="C266" s="42" t="s">
        <v>104</v>
      </c>
      <c r="D266" s="23" t="s">
        <v>153</v>
      </c>
      <c r="E266" s="43" t="s">
        <v>8</v>
      </c>
      <c r="F266" s="50"/>
      <c r="G266" s="50">
        <f>I190*ÍndiceCorreçãoNC!$C$7</f>
        <v>0</v>
      </c>
      <c r="H266" s="50">
        <f t="shared" si="9"/>
        <v>0</v>
      </c>
      <c r="I266" s="50">
        <f t="shared" si="10"/>
        <v>208443.36752999999</v>
      </c>
      <c r="J266" s="106" t="str">
        <f t="shared" si="11"/>
        <v/>
      </c>
      <c r="K266" s="105"/>
    </row>
    <row r="267" spans="2:11" ht="12.95" customHeight="1" x14ac:dyDescent="0.25">
      <c r="B267" s="45" t="str">
        <f>VLOOKUP(C267,SintéticoNC!$F$4:$G$83,2,FALSE)</f>
        <v>Ministério das Comunicações</v>
      </c>
      <c r="C267" s="42" t="s">
        <v>107</v>
      </c>
      <c r="D267" s="23" t="s">
        <v>153</v>
      </c>
      <c r="E267" s="43" t="s">
        <v>8</v>
      </c>
      <c r="F267" s="50"/>
      <c r="G267" s="50">
        <f>I191*ÍndiceCorreçãoNC!$C$7</f>
        <v>0</v>
      </c>
      <c r="H267" s="50">
        <f t="shared" si="9"/>
        <v>0</v>
      </c>
      <c r="I267" s="50">
        <f t="shared" si="10"/>
        <v>15499755.251688881</v>
      </c>
      <c r="J267" s="106" t="str">
        <f t="shared" si="11"/>
        <v/>
      </c>
      <c r="K267" s="105"/>
    </row>
    <row r="268" spans="2:11" ht="12.95" customHeight="1" x14ac:dyDescent="0.25">
      <c r="B268" s="45" t="str">
        <f>VLOOKUP(C268,SintéticoNC!$F$4:$G$83,2,FALSE)</f>
        <v>Ministério das Comunicações</v>
      </c>
      <c r="C268" s="42" t="s">
        <v>109</v>
      </c>
      <c r="D268" s="23" t="s">
        <v>153</v>
      </c>
      <c r="E268" s="43" t="s">
        <v>8</v>
      </c>
      <c r="F268" s="50"/>
      <c r="G268" s="50">
        <f>I192*ÍndiceCorreçãoNC!$C$7</f>
        <v>0</v>
      </c>
      <c r="H268" s="50">
        <f t="shared" si="9"/>
        <v>0</v>
      </c>
      <c r="I268" s="50">
        <f t="shared" si="10"/>
        <v>3713715.64952</v>
      </c>
      <c r="J268" s="106" t="str">
        <f t="shared" si="11"/>
        <v/>
      </c>
      <c r="K268" s="105"/>
    </row>
    <row r="269" spans="2:11" ht="12.95" customHeight="1" x14ac:dyDescent="0.25">
      <c r="B269" s="45" t="str">
        <f>VLOOKUP(C269,SintéticoNC!$F$4:$G$83,2,FALSE)</f>
        <v>Ministério das Comunicações</v>
      </c>
      <c r="C269" s="42" t="s">
        <v>111</v>
      </c>
      <c r="D269" s="23" t="s">
        <v>153</v>
      </c>
      <c r="E269" s="43" t="s">
        <v>8</v>
      </c>
      <c r="F269" s="50"/>
      <c r="G269" s="50">
        <f>I193*ÍndiceCorreçãoNC!$C$7</f>
        <v>0</v>
      </c>
      <c r="H269" s="50">
        <f t="shared" si="9"/>
        <v>0</v>
      </c>
      <c r="I269" s="50">
        <f t="shared" si="10"/>
        <v>10069727.9</v>
      </c>
      <c r="J269" s="106" t="str">
        <f t="shared" si="11"/>
        <v/>
      </c>
      <c r="K269" s="105"/>
    </row>
    <row r="270" spans="2:11" ht="12.95" customHeight="1" x14ac:dyDescent="0.25">
      <c r="B270" s="45" t="str">
        <f>VLOOKUP(C270,SintéticoNC!$F$4:$G$83,2,FALSE)</f>
        <v>Ministério da Educação</v>
      </c>
      <c r="C270" s="42" t="s">
        <v>114</v>
      </c>
      <c r="D270" s="23" t="s">
        <v>153</v>
      </c>
      <c r="E270" s="43" t="s">
        <v>8</v>
      </c>
      <c r="F270" s="50"/>
      <c r="G270" s="50">
        <f>I194*ÍndiceCorreçãoNC!$C$7</f>
        <v>0</v>
      </c>
      <c r="H270" s="50">
        <f t="shared" si="9"/>
        <v>0</v>
      </c>
      <c r="I270" s="50">
        <f t="shared" si="10"/>
        <v>16980781.538382418</v>
      </c>
      <c r="J270" s="106" t="str">
        <f t="shared" si="11"/>
        <v/>
      </c>
      <c r="K270" s="105"/>
    </row>
    <row r="271" spans="2:11" ht="12.95" customHeight="1" x14ac:dyDescent="0.25">
      <c r="B271" s="45" t="str">
        <f>VLOOKUP(C271,SintéticoNC!$F$4:$G$83,2,FALSE)</f>
        <v>Ministério da Educação</v>
      </c>
      <c r="C271" s="42" t="s">
        <v>116</v>
      </c>
      <c r="D271" s="23" t="s">
        <v>153</v>
      </c>
      <c r="E271" s="43" t="s">
        <v>8</v>
      </c>
      <c r="F271" s="50"/>
      <c r="G271" s="50">
        <f>I195*ÍndiceCorreçãoNC!$C$7</f>
        <v>0</v>
      </c>
      <c r="H271" s="50">
        <f t="shared" si="9"/>
        <v>0</v>
      </c>
      <c r="I271" s="50">
        <f t="shared" si="10"/>
        <v>3706666.8399899998</v>
      </c>
      <c r="J271" s="106" t="str">
        <f t="shared" si="11"/>
        <v/>
      </c>
      <c r="K271" s="105"/>
    </row>
    <row r="272" spans="2:11" ht="12.95" customHeight="1" x14ac:dyDescent="0.25">
      <c r="B272" s="45" t="str">
        <f>VLOOKUP(C272,SintéticoNC!$F$4:$G$83,2,FALSE)</f>
        <v>Ministério da Justiça</v>
      </c>
      <c r="C272" s="42" t="s">
        <v>119</v>
      </c>
      <c r="D272" s="23" t="s">
        <v>153</v>
      </c>
      <c r="E272" s="43" t="s">
        <v>8</v>
      </c>
      <c r="F272" s="50"/>
      <c r="G272" s="50">
        <f>I196*ÍndiceCorreçãoNC!$C$7</f>
        <v>0</v>
      </c>
      <c r="H272" s="50">
        <f t="shared" si="9"/>
        <v>0</v>
      </c>
      <c r="I272" s="50">
        <f t="shared" si="10"/>
        <v>630294.98193109501</v>
      </c>
      <c r="J272" s="106" t="str">
        <f t="shared" si="11"/>
        <v/>
      </c>
      <c r="K272" s="105"/>
    </row>
    <row r="273" spans="2:11" ht="12.95" customHeight="1" x14ac:dyDescent="0.25">
      <c r="B273" s="45" t="str">
        <f>VLOOKUP(C273,SintéticoNC!$F$4:$G$83,2,FALSE)</f>
        <v>Ministério do Meio Ambiente</v>
      </c>
      <c r="C273" s="42" t="s">
        <v>122</v>
      </c>
      <c r="D273" s="23" t="s">
        <v>153</v>
      </c>
      <c r="E273" s="43" t="s">
        <v>8</v>
      </c>
      <c r="F273" s="50"/>
      <c r="G273" s="50">
        <f>I197*ÍndiceCorreçãoNC!$C$7</f>
        <v>0</v>
      </c>
      <c r="H273" s="50">
        <f t="shared" si="9"/>
        <v>0</v>
      </c>
      <c r="I273" s="50">
        <f t="shared" si="10"/>
        <v>108551.66676199999</v>
      </c>
      <c r="J273" s="106" t="str">
        <f t="shared" si="11"/>
        <v/>
      </c>
      <c r="K273" s="105"/>
    </row>
    <row r="274" spans="2:11" ht="12.95" customHeight="1" x14ac:dyDescent="0.25">
      <c r="B274" s="45" t="str">
        <f>VLOOKUP(C274,SintéticoNC!$F$4:$G$83,2,FALSE)</f>
        <v>Perpétua Almeida</v>
      </c>
      <c r="C274" s="42" t="s">
        <v>125</v>
      </c>
      <c r="D274" s="23" t="s">
        <v>153</v>
      </c>
      <c r="E274" s="43" t="s">
        <v>8</v>
      </c>
      <c r="F274" s="50"/>
      <c r="G274" s="50">
        <f>I198*ÍndiceCorreçãoNC!$C$7</f>
        <v>0</v>
      </c>
      <c r="H274" s="50">
        <f t="shared" ref="H274:H337" si="12">IF(I198+G274&gt;F274,F274,I198+G274)</f>
        <v>0</v>
      </c>
      <c r="I274" s="50">
        <f t="shared" ref="I274:I337" si="13">IF(F274&gt;I198+G274,"",I198+G274-F274)</f>
        <v>416886.73505999998</v>
      </c>
      <c r="J274" s="106" t="str">
        <f t="shared" ref="J274:J337" si="14">IF(I274="",F274-(I198+G274),"")</f>
        <v/>
      </c>
      <c r="K274" s="105"/>
    </row>
    <row r="275" spans="2:11" ht="12.95" customHeight="1" x14ac:dyDescent="0.25">
      <c r="B275" s="45" t="str">
        <f>VLOOKUP(C275,SintéticoNC!$F$4:$G$83,2,FALSE)</f>
        <v>PRF RO</v>
      </c>
      <c r="C275" s="42" t="s">
        <v>128</v>
      </c>
      <c r="D275" s="23" t="s">
        <v>153</v>
      </c>
      <c r="E275" s="43" t="s">
        <v>8</v>
      </c>
      <c r="F275" s="50"/>
      <c r="G275" s="50">
        <f>I199*ÍndiceCorreçãoNC!$C$7</f>
        <v>0</v>
      </c>
      <c r="H275" s="50">
        <f t="shared" si="12"/>
        <v>0</v>
      </c>
      <c r="I275" s="50">
        <f t="shared" si="13"/>
        <v>46723.537455999998</v>
      </c>
      <c r="J275" s="106" t="str">
        <f t="shared" si="14"/>
        <v/>
      </c>
      <c r="K275" s="105"/>
    </row>
    <row r="276" spans="2:11" ht="12.95" customHeight="1" x14ac:dyDescent="0.25">
      <c r="B276" s="45" t="str">
        <f>VLOOKUP(C276,SintéticoNC!$F$4:$G$83,2,FALSE)</f>
        <v>Senador Confúcio Moura</v>
      </c>
      <c r="C276" s="42" t="s">
        <v>131</v>
      </c>
      <c r="D276" s="23" t="s">
        <v>153</v>
      </c>
      <c r="E276" s="43" t="s">
        <v>8</v>
      </c>
      <c r="F276" s="50"/>
      <c r="G276" s="50">
        <f>I200*ÍndiceCorreçãoNC!$C$7</f>
        <v>0</v>
      </c>
      <c r="H276" s="50">
        <f t="shared" si="12"/>
        <v>0</v>
      </c>
      <c r="I276" s="50">
        <f t="shared" si="13"/>
        <v>345423.16507887124</v>
      </c>
      <c r="J276" s="106" t="str">
        <f t="shared" si="14"/>
        <v/>
      </c>
      <c r="K276" s="105"/>
    </row>
    <row r="277" spans="2:11" ht="12.95" customHeight="1" x14ac:dyDescent="0.25">
      <c r="B277" s="45" t="str">
        <f>VLOOKUP(C277,SintéticoNC!$F$4:$G$83,2,FALSE)</f>
        <v>Sérgio Petecão</v>
      </c>
      <c r="C277" s="42" t="s">
        <v>134</v>
      </c>
      <c r="D277" s="23" t="s">
        <v>153</v>
      </c>
      <c r="E277" s="43" t="s">
        <v>8</v>
      </c>
      <c r="F277" s="50"/>
      <c r="G277" s="50">
        <f>I201*ÍndiceCorreçãoNC!$C$7</f>
        <v>0</v>
      </c>
      <c r="H277" s="50">
        <f t="shared" si="12"/>
        <v>0</v>
      </c>
      <c r="I277" s="50">
        <f t="shared" si="13"/>
        <v>286973.14753094001</v>
      </c>
      <c r="J277" s="106" t="str">
        <f t="shared" si="14"/>
        <v/>
      </c>
      <c r="K277" s="105"/>
    </row>
    <row r="278" spans="2:11" ht="12.95" customHeight="1" x14ac:dyDescent="0.25">
      <c r="B278" s="45" t="str">
        <f>VLOOKUP(C278,SintéticoNC!$F$4:$G$83,2,FALSE)</f>
        <v>Soraya Thronicke</v>
      </c>
      <c r="C278" s="42" t="s">
        <v>137</v>
      </c>
      <c r="D278" s="23" t="s">
        <v>153</v>
      </c>
      <c r="E278" s="43" t="s">
        <v>8</v>
      </c>
      <c r="F278" s="50"/>
      <c r="G278" s="50">
        <f>I202*ÍndiceCorreçãoNC!$C$7</f>
        <v>0</v>
      </c>
      <c r="H278" s="50">
        <f t="shared" si="12"/>
        <v>0</v>
      </c>
      <c r="I278" s="50">
        <f t="shared" si="13"/>
        <v>347405.61255000002</v>
      </c>
      <c r="J278" s="106" t="str">
        <f t="shared" si="14"/>
        <v/>
      </c>
      <c r="K278" s="105"/>
    </row>
    <row r="279" spans="2:11" ht="12.95" customHeight="1" x14ac:dyDescent="0.25">
      <c r="B279" s="45" t="str">
        <f>VLOOKUP(C279,SintéticoNC!$F$4:$G$83,2,FALSE)</f>
        <v>Uldurico Junior</v>
      </c>
      <c r="C279" s="42" t="s">
        <v>140</v>
      </c>
      <c r="D279" s="23" t="s">
        <v>153</v>
      </c>
      <c r="E279" s="43" t="s">
        <v>8</v>
      </c>
      <c r="F279" s="50"/>
      <c r="G279" s="50">
        <f>I203*ÍndiceCorreçãoNC!$C$7</f>
        <v>0</v>
      </c>
      <c r="H279" s="50">
        <f t="shared" si="12"/>
        <v>0</v>
      </c>
      <c r="I279" s="50">
        <f t="shared" si="13"/>
        <v>311154.59211000003</v>
      </c>
      <c r="J279" s="106" t="str">
        <f t="shared" si="14"/>
        <v/>
      </c>
      <c r="K279" s="105"/>
    </row>
    <row r="280" spans="2:11" ht="12.95" customHeight="1" x14ac:dyDescent="0.25">
      <c r="B280" s="45" t="str">
        <f>VLOOKUP(C280,SintéticoNC!$F$4:$G$83,2,FALSE)</f>
        <v>Bancada de Alagoas</v>
      </c>
      <c r="C280" s="42" t="s">
        <v>156</v>
      </c>
      <c r="D280" s="23" t="s">
        <v>216</v>
      </c>
      <c r="E280" s="43" t="s">
        <v>8</v>
      </c>
      <c r="F280" s="50"/>
      <c r="G280" s="50">
        <f>I204*ÍndiceCorreçãoNC!$C$7</f>
        <v>0</v>
      </c>
      <c r="H280" s="50">
        <f t="shared" si="12"/>
        <v>0</v>
      </c>
      <c r="I280" s="50">
        <f t="shared" si="13"/>
        <v>612239.45632</v>
      </c>
      <c r="J280" s="106" t="str">
        <f t="shared" si="14"/>
        <v/>
      </c>
      <c r="K280" s="105"/>
    </row>
    <row r="281" spans="2:11" ht="12.95" customHeight="1" x14ac:dyDescent="0.25">
      <c r="B281" s="45" t="str">
        <f>VLOOKUP(C281,SintéticoNC!$F$4:$G$83,2,FALSE)</f>
        <v>Bancada de Alagoas</v>
      </c>
      <c r="C281" s="42" t="s">
        <v>158</v>
      </c>
      <c r="D281" s="23" t="s">
        <v>216</v>
      </c>
      <c r="E281" s="43" t="s">
        <v>8</v>
      </c>
      <c r="F281" s="50"/>
      <c r="G281" s="50">
        <f>I205*ÍndiceCorreçãoNC!$C$7</f>
        <v>0</v>
      </c>
      <c r="H281" s="50">
        <f t="shared" si="12"/>
        <v>0</v>
      </c>
      <c r="I281" s="50">
        <f t="shared" si="13"/>
        <v>176220.23824999999</v>
      </c>
      <c r="J281" s="106" t="str">
        <f t="shared" si="14"/>
        <v/>
      </c>
      <c r="K281" s="105"/>
    </row>
    <row r="282" spans="2:11" ht="12.95" customHeight="1" x14ac:dyDescent="0.25">
      <c r="B282" s="45" t="str">
        <f>VLOOKUP(C282,SintéticoNC!$F$4:$G$83,2,FALSE)</f>
        <v>Bancada de Alagoas</v>
      </c>
      <c r="C282" s="42" t="s">
        <v>160</v>
      </c>
      <c r="D282" s="23" t="s">
        <v>216</v>
      </c>
      <c r="E282" s="43" t="s">
        <v>8</v>
      </c>
      <c r="F282" s="50"/>
      <c r="G282" s="50">
        <f>I206*ÍndiceCorreçãoNC!$C$7</f>
        <v>0</v>
      </c>
      <c r="H282" s="50">
        <f t="shared" si="12"/>
        <v>0</v>
      </c>
      <c r="I282" s="50">
        <f t="shared" si="13"/>
        <v>755229.59250000003</v>
      </c>
      <c r="J282" s="106" t="str">
        <f t="shared" si="14"/>
        <v/>
      </c>
      <c r="K282" s="105"/>
    </row>
    <row r="283" spans="2:11" ht="12.95" customHeight="1" x14ac:dyDescent="0.25">
      <c r="B283" s="45" t="str">
        <f>VLOOKUP(C283,SintéticoNC!$F$4:$G$83,2,FALSE)</f>
        <v>Bancada de Minas Gerais</v>
      </c>
      <c r="C283" s="42" t="s">
        <v>162</v>
      </c>
      <c r="D283" s="23" t="s">
        <v>216</v>
      </c>
      <c r="E283" s="43" t="s">
        <v>8</v>
      </c>
      <c r="F283" s="50"/>
      <c r="G283" s="50">
        <f>I207*ÍndiceCorreçãoNC!$C$7</f>
        <v>0</v>
      </c>
      <c r="H283" s="50">
        <f t="shared" si="12"/>
        <v>0</v>
      </c>
      <c r="I283" s="50">
        <f t="shared" si="13"/>
        <v>5236258.5080000004</v>
      </c>
      <c r="J283" s="106" t="str">
        <f t="shared" si="14"/>
        <v/>
      </c>
      <c r="K283" s="105"/>
    </row>
    <row r="284" spans="2:11" ht="12.95" customHeight="1" x14ac:dyDescent="0.25">
      <c r="B284" s="45" t="str">
        <f>VLOOKUP(C284,SintéticoNC!$F$4:$G$83,2,FALSE)</f>
        <v>Bancada de São Paulo</v>
      </c>
      <c r="C284" s="42" t="s">
        <v>164</v>
      </c>
      <c r="D284" s="23" t="s">
        <v>216</v>
      </c>
      <c r="E284" s="43" t="s">
        <v>8</v>
      </c>
      <c r="F284" s="50"/>
      <c r="G284" s="50">
        <f>I208*ÍndiceCorreçãoNC!$C$7</f>
        <v>0</v>
      </c>
      <c r="H284" s="50">
        <f t="shared" si="12"/>
        <v>0</v>
      </c>
      <c r="I284" s="50">
        <f t="shared" si="13"/>
        <v>700128.04143119999</v>
      </c>
      <c r="J284" s="106" t="str">
        <f t="shared" si="14"/>
        <v/>
      </c>
      <c r="K284" s="105"/>
    </row>
    <row r="285" spans="2:11" ht="12.95" customHeight="1" x14ac:dyDescent="0.25">
      <c r="B285" s="45" t="str">
        <f>VLOOKUP(C285,SintéticoNC!$F$4:$G$83,2,FALSE)</f>
        <v>Bancada do Espírito Santo</v>
      </c>
      <c r="C285" s="42" t="s">
        <v>166</v>
      </c>
      <c r="D285" s="23" t="s">
        <v>216</v>
      </c>
      <c r="E285" s="43" t="s">
        <v>8</v>
      </c>
      <c r="F285" s="50"/>
      <c r="G285" s="50">
        <f>I209*ÍndiceCorreçãoNC!$C$7</f>
        <v>0</v>
      </c>
      <c r="H285" s="50">
        <f t="shared" si="12"/>
        <v>0</v>
      </c>
      <c r="I285" s="50">
        <f t="shared" si="13"/>
        <v>788459.69457000005</v>
      </c>
      <c r="J285" s="106" t="str">
        <f t="shared" si="14"/>
        <v/>
      </c>
      <c r="K285" s="105"/>
    </row>
    <row r="286" spans="2:11" ht="12.95" customHeight="1" x14ac:dyDescent="0.25">
      <c r="B286" s="45" t="str">
        <f>VLOOKUP(C286,SintéticoNC!$F$4:$G$83,2,FALSE)</f>
        <v>Bancada do Espírito Santo</v>
      </c>
      <c r="C286" s="42" t="s">
        <v>168</v>
      </c>
      <c r="D286" s="23" t="s">
        <v>216</v>
      </c>
      <c r="E286" s="43" t="s">
        <v>8</v>
      </c>
      <c r="F286" s="50"/>
      <c r="G286" s="50">
        <f>I210*ÍndiceCorreçãoNC!$C$7</f>
        <v>0</v>
      </c>
      <c r="H286" s="50">
        <f t="shared" si="12"/>
        <v>0</v>
      </c>
      <c r="I286" s="50">
        <f t="shared" si="13"/>
        <v>846012.20733993209</v>
      </c>
      <c r="J286" s="106" t="str">
        <f t="shared" si="14"/>
        <v/>
      </c>
      <c r="K286" s="105"/>
    </row>
    <row r="287" spans="2:11" ht="12.95" customHeight="1" x14ac:dyDescent="0.25">
      <c r="B287" s="45" t="str">
        <f>VLOOKUP(C287,SintéticoNC!$F$4:$G$83,2,FALSE)</f>
        <v>Bancada do Pará</v>
      </c>
      <c r="C287" s="42" t="s">
        <v>170</v>
      </c>
      <c r="D287" s="23" t="s">
        <v>216</v>
      </c>
      <c r="E287" s="43" t="s">
        <v>8</v>
      </c>
      <c r="F287" s="50"/>
      <c r="G287" s="50">
        <f>I211*ÍndiceCorreçãoNC!$C$7</f>
        <v>0</v>
      </c>
      <c r="H287" s="50">
        <f t="shared" si="12"/>
        <v>0</v>
      </c>
      <c r="I287" s="50">
        <f t="shared" si="13"/>
        <v>185282.99335999999</v>
      </c>
      <c r="J287" s="106" t="str">
        <f t="shared" si="14"/>
        <v/>
      </c>
      <c r="K287" s="105"/>
    </row>
    <row r="288" spans="2:11" ht="12.95" customHeight="1" x14ac:dyDescent="0.25">
      <c r="B288" s="45" t="str">
        <f>VLOOKUP(C288,SintéticoNC!$F$4:$G$83,2,FALSE)</f>
        <v>Bancada do Pará</v>
      </c>
      <c r="C288" s="42" t="s">
        <v>172</v>
      </c>
      <c r="D288" s="23" t="s">
        <v>216</v>
      </c>
      <c r="E288" s="43" t="s">
        <v>8</v>
      </c>
      <c r="F288" s="50"/>
      <c r="G288" s="50">
        <f>I212*ÍndiceCorreçãoNC!$C$7</f>
        <v>0</v>
      </c>
      <c r="H288" s="50">
        <f t="shared" si="12"/>
        <v>0</v>
      </c>
      <c r="I288" s="50">
        <f t="shared" si="13"/>
        <v>314598.4390518</v>
      </c>
      <c r="J288" s="106" t="str">
        <f t="shared" si="14"/>
        <v/>
      </c>
      <c r="K288" s="105"/>
    </row>
    <row r="289" spans="2:11" ht="12.95" customHeight="1" x14ac:dyDescent="0.25">
      <c r="B289" s="45" t="str">
        <f>VLOOKUP(C289,SintéticoNC!$F$4:$G$83,2,FALSE)</f>
        <v>Coronel Chrisóstomo</v>
      </c>
      <c r="C289" s="42" t="s">
        <v>174</v>
      </c>
      <c r="D289" s="23" t="s">
        <v>216</v>
      </c>
      <c r="E289" s="43" t="s">
        <v>8</v>
      </c>
      <c r="F289" s="50"/>
      <c r="G289" s="50">
        <f>I213*ÍndiceCorreçãoNC!$C$7</f>
        <v>0</v>
      </c>
      <c r="H289" s="50">
        <f t="shared" si="12"/>
        <v>0</v>
      </c>
      <c r="I289" s="50">
        <f t="shared" si="13"/>
        <v>61928.826585000003</v>
      </c>
      <c r="J289" s="106" t="str">
        <f t="shared" si="14"/>
        <v/>
      </c>
      <c r="K289" s="105"/>
    </row>
    <row r="290" spans="2:11" ht="12.95" customHeight="1" x14ac:dyDescent="0.25">
      <c r="B290" s="45" t="str">
        <f>VLOOKUP(C290,SintéticoNC!$F$4:$G$83,2,FALSE)</f>
        <v>Dimas Fabiano</v>
      </c>
      <c r="C290" s="42" t="s">
        <v>176</v>
      </c>
      <c r="D290" s="23" t="s">
        <v>216</v>
      </c>
      <c r="E290" s="43" t="s">
        <v>8</v>
      </c>
      <c r="F290" s="50"/>
      <c r="G290" s="50">
        <f>I214*ÍndiceCorreçãoNC!$C$7</f>
        <v>0</v>
      </c>
      <c r="H290" s="50">
        <f t="shared" si="12"/>
        <v>0</v>
      </c>
      <c r="I290" s="50">
        <f t="shared" si="13"/>
        <v>93648.469469999996</v>
      </c>
      <c r="J290" s="106" t="str">
        <f t="shared" si="14"/>
        <v/>
      </c>
      <c r="K290" s="105"/>
    </row>
    <row r="291" spans="2:11" ht="12.95" customHeight="1" x14ac:dyDescent="0.25">
      <c r="B291" s="45" t="str">
        <f>VLOOKUP(C291,SintéticoNC!$F$4:$G$83,2,FALSE)</f>
        <v>Edna Henrique</v>
      </c>
      <c r="C291" s="42" t="s">
        <v>178</v>
      </c>
      <c r="D291" s="23" t="s">
        <v>216</v>
      </c>
      <c r="E291" s="43" t="s">
        <v>8</v>
      </c>
      <c r="F291" s="50"/>
      <c r="G291" s="50">
        <f>I215*ÍndiceCorreçãoNC!$C$7</f>
        <v>0</v>
      </c>
      <c r="H291" s="50">
        <f t="shared" si="12"/>
        <v>0</v>
      </c>
      <c r="I291" s="50">
        <f t="shared" si="13"/>
        <v>92641.496679999997</v>
      </c>
      <c r="J291" s="106" t="str">
        <f t="shared" si="14"/>
        <v/>
      </c>
      <c r="K291" s="105"/>
    </row>
    <row r="292" spans="2:11" ht="12.95" customHeight="1" x14ac:dyDescent="0.25">
      <c r="B292" s="45" t="str">
        <f>VLOOKUP(C292,SintéticoNC!$F$4:$G$83,2,FALSE)</f>
        <v>Fabio Reis</v>
      </c>
      <c r="C292" s="42" t="s">
        <v>180</v>
      </c>
      <c r="D292" s="23" t="s">
        <v>216</v>
      </c>
      <c r="E292" s="43" t="s">
        <v>8</v>
      </c>
      <c r="F292" s="50"/>
      <c r="G292" s="50">
        <f>I216*ÍndiceCorreçãoNC!$C$7</f>
        <v>0</v>
      </c>
      <c r="H292" s="50">
        <f t="shared" si="12"/>
        <v>0</v>
      </c>
      <c r="I292" s="50">
        <f t="shared" si="13"/>
        <v>42172.020445200003</v>
      </c>
      <c r="J292" s="106" t="str">
        <f t="shared" si="14"/>
        <v/>
      </c>
      <c r="K292" s="105"/>
    </row>
    <row r="293" spans="2:11" ht="12.95" customHeight="1" x14ac:dyDescent="0.25">
      <c r="B293" s="45" t="str">
        <f>VLOOKUP(C293,SintéticoNC!$F$4:$G$83,2,FALSE)</f>
        <v>Flavia Arruda</v>
      </c>
      <c r="C293" s="42" t="s">
        <v>182</v>
      </c>
      <c r="D293" s="23" t="s">
        <v>216</v>
      </c>
      <c r="E293" s="43" t="s">
        <v>8</v>
      </c>
      <c r="F293" s="50"/>
      <c r="G293" s="50">
        <f>I217*ÍndiceCorreçãoNC!$C$7</f>
        <v>0</v>
      </c>
      <c r="H293" s="50">
        <f t="shared" si="12"/>
        <v>0</v>
      </c>
      <c r="I293" s="50">
        <f t="shared" si="13"/>
        <v>371113.77991776</v>
      </c>
      <c r="J293" s="106" t="str">
        <f t="shared" si="14"/>
        <v/>
      </c>
      <c r="K293" s="105"/>
    </row>
    <row r="294" spans="2:11" ht="12.95" customHeight="1" x14ac:dyDescent="0.25">
      <c r="B294" s="45" t="str">
        <f>VLOOKUP(C294,SintéticoNC!$F$4:$G$83,2,FALSE)</f>
        <v>General Girão</v>
      </c>
      <c r="C294" s="42" t="s">
        <v>184</v>
      </c>
      <c r="D294" s="23" t="s">
        <v>216</v>
      </c>
      <c r="E294" s="43" t="s">
        <v>8</v>
      </c>
      <c r="F294" s="50"/>
      <c r="G294" s="50">
        <f>I218*ÍndiceCorreçãoNC!$C$7</f>
        <v>0</v>
      </c>
      <c r="H294" s="50">
        <f t="shared" si="12"/>
        <v>0</v>
      </c>
      <c r="I294" s="50">
        <f t="shared" si="13"/>
        <v>93648.469469999996</v>
      </c>
      <c r="J294" s="106" t="str">
        <f t="shared" si="14"/>
        <v/>
      </c>
      <c r="K294" s="105"/>
    </row>
    <row r="295" spans="2:11" ht="12.95" customHeight="1" x14ac:dyDescent="0.25">
      <c r="B295" s="45" t="str">
        <f>VLOOKUP(C295,SintéticoNC!$F$4:$G$83,2,FALSE)</f>
        <v>José Nunes</v>
      </c>
      <c r="C295" s="42" t="s">
        <v>186</v>
      </c>
      <c r="D295" s="23" t="s">
        <v>216</v>
      </c>
      <c r="E295" s="43" t="s">
        <v>8</v>
      </c>
      <c r="F295" s="50"/>
      <c r="G295" s="50">
        <f>I219*ÍndiceCorreçãoNC!$C$7</f>
        <v>0</v>
      </c>
      <c r="H295" s="50">
        <f t="shared" si="12"/>
        <v>0</v>
      </c>
      <c r="I295" s="50">
        <f t="shared" si="13"/>
        <v>93648.469469999996</v>
      </c>
      <c r="J295" s="106" t="str">
        <f t="shared" si="14"/>
        <v/>
      </c>
      <c r="K295" s="105"/>
    </row>
    <row r="296" spans="2:11" ht="12.95" customHeight="1" x14ac:dyDescent="0.25">
      <c r="B296" s="45" t="str">
        <f>VLOOKUP(C296,SintéticoNC!$F$4:$G$83,2,FALSE)</f>
        <v>Josivaldo JP</v>
      </c>
      <c r="C296" s="42" t="s">
        <v>188</v>
      </c>
      <c r="D296" s="23" t="s">
        <v>216</v>
      </c>
      <c r="E296" s="43" t="s">
        <v>8</v>
      </c>
      <c r="F296" s="50"/>
      <c r="G296" s="50">
        <f>I220*ÍndiceCorreçãoNC!$C$7</f>
        <v>0</v>
      </c>
      <c r="H296" s="50">
        <f t="shared" si="12"/>
        <v>0</v>
      </c>
      <c r="I296" s="50">
        <f t="shared" si="13"/>
        <v>48334.693919999998</v>
      </c>
      <c r="J296" s="106" t="str">
        <f t="shared" si="14"/>
        <v/>
      </c>
      <c r="K296" s="105"/>
    </row>
    <row r="297" spans="2:11" ht="12.95" customHeight="1" x14ac:dyDescent="0.25">
      <c r="B297" s="45" t="str">
        <f>VLOOKUP(C297,SintéticoNC!$F$4:$G$83,2,FALSE)</f>
        <v>Junior Lourenço</v>
      </c>
      <c r="C297" s="42" t="s">
        <v>190</v>
      </c>
      <c r="D297" s="23" t="s">
        <v>216</v>
      </c>
      <c r="E297" s="43" t="s">
        <v>8</v>
      </c>
      <c r="F297" s="50"/>
      <c r="G297" s="50">
        <f>I221*ÍndiceCorreçãoNC!$C$7</f>
        <v>0</v>
      </c>
      <c r="H297" s="50">
        <f t="shared" si="12"/>
        <v>0</v>
      </c>
      <c r="I297" s="50">
        <f t="shared" si="13"/>
        <v>156080.78245</v>
      </c>
      <c r="J297" s="106" t="str">
        <f t="shared" si="14"/>
        <v/>
      </c>
      <c r="K297" s="105"/>
    </row>
    <row r="298" spans="2:11" ht="12.95" customHeight="1" x14ac:dyDescent="0.25">
      <c r="B298" s="45" t="str">
        <f>VLOOKUP(C298,SintéticoNC!$F$4:$G$83,2,FALSE)</f>
        <v>Leo de Brito</v>
      </c>
      <c r="C298" s="42" t="s">
        <v>192</v>
      </c>
      <c r="D298" s="23" t="s">
        <v>216</v>
      </c>
      <c r="E298" s="43" t="s">
        <v>8</v>
      </c>
      <c r="F298" s="50"/>
      <c r="G298" s="50">
        <f>I222*ÍndiceCorreçãoNC!$C$7</f>
        <v>0</v>
      </c>
      <c r="H298" s="50">
        <f t="shared" si="12"/>
        <v>0</v>
      </c>
      <c r="I298" s="50">
        <f t="shared" si="13"/>
        <v>171185.3743</v>
      </c>
      <c r="J298" s="106" t="str">
        <f t="shared" si="14"/>
        <v/>
      </c>
      <c r="K298" s="105"/>
    </row>
    <row r="299" spans="2:11" ht="12.95" customHeight="1" x14ac:dyDescent="0.25">
      <c r="B299" s="45" t="str">
        <f>VLOOKUP(C299,SintéticoNC!$F$4:$G$83,2,FALSE)</f>
        <v>Luciano Bivar</v>
      </c>
      <c r="C299" s="42" t="s">
        <v>194</v>
      </c>
      <c r="D299" s="23" t="s">
        <v>216</v>
      </c>
      <c r="E299" s="43" t="s">
        <v>8</v>
      </c>
      <c r="F299" s="50"/>
      <c r="G299" s="50">
        <f>I223*ÍndiceCorreçãoNC!$C$7</f>
        <v>0</v>
      </c>
      <c r="H299" s="50">
        <f t="shared" si="12"/>
        <v>0</v>
      </c>
      <c r="I299" s="50">
        <f t="shared" si="13"/>
        <v>93648.469469999996</v>
      </c>
      <c r="J299" s="106" t="str">
        <f t="shared" si="14"/>
        <v/>
      </c>
      <c r="K299" s="105"/>
    </row>
    <row r="300" spans="2:11" ht="12.95" customHeight="1" x14ac:dyDescent="0.25">
      <c r="B300" s="45" t="str">
        <f>VLOOKUP(C300,SintéticoNC!$F$4:$G$83,2,FALSE)</f>
        <v>Luis Tibé</v>
      </c>
      <c r="C300" s="42" t="s">
        <v>196</v>
      </c>
      <c r="D300" s="23" t="s">
        <v>216</v>
      </c>
      <c r="E300" s="43" t="s">
        <v>8</v>
      </c>
      <c r="F300" s="50"/>
      <c r="G300" s="50">
        <f>I224*ÍndiceCorreçãoNC!$C$7</f>
        <v>0</v>
      </c>
      <c r="H300" s="50">
        <f t="shared" si="12"/>
        <v>0</v>
      </c>
      <c r="I300" s="50">
        <f t="shared" si="13"/>
        <v>93648.469469999996</v>
      </c>
      <c r="J300" s="106" t="str">
        <f t="shared" si="14"/>
        <v/>
      </c>
      <c r="K300" s="105"/>
    </row>
    <row r="301" spans="2:11" ht="12.95" customHeight="1" x14ac:dyDescent="0.25">
      <c r="B301" s="45" t="str">
        <f>VLOOKUP(C301,SintéticoNC!$F$4:$G$83,2,FALSE)</f>
        <v>Mara Rocha</v>
      </c>
      <c r="C301" s="42" t="s">
        <v>198</v>
      </c>
      <c r="D301" s="23" t="s">
        <v>216</v>
      </c>
      <c r="E301" s="43" t="s">
        <v>8</v>
      </c>
      <c r="F301" s="50"/>
      <c r="G301" s="50">
        <f>I225*ÍndiceCorreçãoNC!$C$7</f>
        <v>0</v>
      </c>
      <c r="H301" s="50">
        <f t="shared" si="12"/>
        <v>0</v>
      </c>
      <c r="I301" s="50">
        <f t="shared" si="13"/>
        <v>171185.3743</v>
      </c>
      <c r="J301" s="106" t="str">
        <f t="shared" si="14"/>
        <v/>
      </c>
      <c r="K301" s="105"/>
    </row>
    <row r="302" spans="2:11" ht="12.95" customHeight="1" x14ac:dyDescent="0.25">
      <c r="B302" s="45" t="str">
        <f>VLOOKUP(C302,SintéticoNC!$F$4:$G$83,2,FALSE)</f>
        <v>Marx Beltrão</v>
      </c>
      <c r="C302" s="42" t="s">
        <v>200</v>
      </c>
      <c r="D302" s="23" t="s">
        <v>216</v>
      </c>
      <c r="E302" s="43" t="s">
        <v>8</v>
      </c>
      <c r="F302" s="50"/>
      <c r="G302" s="50">
        <f>I226*ÍndiceCorreçãoNC!$C$7</f>
        <v>0</v>
      </c>
      <c r="H302" s="50">
        <f t="shared" si="12"/>
        <v>0</v>
      </c>
      <c r="I302" s="50">
        <f t="shared" si="13"/>
        <v>93648.469469999996</v>
      </c>
      <c r="J302" s="106" t="str">
        <f t="shared" si="14"/>
        <v/>
      </c>
      <c r="K302" s="105"/>
    </row>
    <row r="303" spans="2:11" ht="12.95" customHeight="1" x14ac:dyDescent="0.25">
      <c r="B303" s="45" t="str">
        <f>VLOOKUP(C303,SintéticoNC!$F$4:$G$83,2,FALSE)</f>
        <v>Perpétua Almeida</v>
      </c>
      <c r="C303" s="42" t="s">
        <v>202</v>
      </c>
      <c r="D303" s="23" t="s">
        <v>216</v>
      </c>
      <c r="E303" s="43" t="s">
        <v>8</v>
      </c>
      <c r="F303" s="50"/>
      <c r="G303" s="50">
        <f>I227*ÍndiceCorreçãoNC!$C$7</f>
        <v>0</v>
      </c>
      <c r="H303" s="50">
        <f t="shared" si="12"/>
        <v>0</v>
      </c>
      <c r="I303" s="50">
        <f t="shared" si="13"/>
        <v>194341.72057884</v>
      </c>
      <c r="J303" s="106" t="str">
        <f t="shared" si="14"/>
        <v/>
      </c>
      <c r="K303" s="105"/>
    </row>
    <row r="304" spans="2:11" ht="12.95" customHeight="1" x14ac:dyDescent="0.25">
      <c r="B304" s="45" t="str">
        <f>VLOOKUP(C304,SintéticoNC!$F$4:$G$83,2,FALSE)</f>
        <v>Sérgio Petecão</v>
      </c>
      <c r="C304" s="42" t="s">
        <v>204</v>
      </c>
      <c r="D304" s="23" t="s">
        <v>216</v>
      </c>
      <c r="E304" s="43" t="s">
        <v>8</v>
      </c>
      <c r="F304" s="50"/>
      <c r="G304" s="50">
        <f>I228*ÍndiceCorreçãoNC!$C$7</f>
        <v>0</v>
      </c>
      <c r="H304" s="50">
        <f t="shared" si="12"/>
        <v>0</v>
      </c>
      <c r="I304" s="50">
        <f t="shared" si="13"/>
        <v>133538.68957305999</v>
      </c>
      <c r="J304" s="106" t="str">
        <f t="shared" si="14"/>
        <v/>
      </c>
      <c r="K304" s="105"/>
    </row>
    <row r="305" spans="2:11" ht="12.95" customHeight="1" x14ac:dyDescent="0.25">
      <c r="B305" s="45" t="str">
        <f>VLOOKUP(C305,SintéticoNC!$F$4:$G$83,2,FALSE)</f>
        <v>Uldurico Junior</v>
      </c>
      <c r="C305" s="42" t="s">
        <v>206</v>
      </c>
      <c r="D305" s="23" t="s">
        <v>216</v>
      </c>
      <c r="E305" s="43" t="s">
        <v>8</v>
      </c>
      <c r="F305" s="50"/>
      <c r="G305" s="50">
        <f>I229*ÍndiceCorreçãoNC!$C$7</f>
        <v>0</v>
      </c>
      <c r="H305" s="50">
        <f t="shared" si="12"/>
        <v>0</v>
      </c>
      <c r="I305" s="50">
        <f t="shared" si="13"/>
        <v>141983.16339</v>
      </c>
      <c r="J305" s="106" t="str">
        <f t="shared" si="14"/>
        <v/>
      </c>
      <c r="K305" s="105"/>
    </row>
    <row r="306" spans="2:11" ht="12.95" customHeight="1" x14ac:dyDescent="0.25">
      <c r="B306" s="45" t="str">
        <f>VLOOKUP(C306,SintéticoNC!$F$4:$G$83,2,FALSE)</f>
        <v>Soraya Thronicke</v>
      </c>
      <c r="C306" s="42" t="s">
        <v>208</v>
      </c>
      <c r="D306" s="23" t="s">
        <v>216</v>
      </c>
      <c r="E306" s="43" t="s">
        <v>8</v>
      </c>
      <c r="F306" s="50"/>
      <c r="G306" s="50">
        <f>I230*ÍndiceCorreçãoNC!$C$7</f>
        <v>0</v>
      </c>
      <c r="H306" s="50">
        <f t="shared" si="12"/>
        <v>0</v>
      </c>
      <c r="I306" s="50">
        <f t="shared" si="13"/>
        <v>156080.78245</v>
      </c>
      <c r="J306" s="106" t="str">
        <f t="shared" si="14"/>
        <v/>
      </c>
      <c r="K306" s="105"/>
    </row>
    <row r="307" spans="2:11" ht="12.95" customHeight="1" x14ac:dyDescent="0.25">
      <c r="B307" s="45" t="str">
        <f>VLOOKUP(C307,SintéticoNC!$F$4:$G$83,2,FALSE)</f>
        <v>MCom</v>
      </c>
      <c r="C307" s="42" t="s">
        <v>211</v>
      </c>
      <c r="D307" s="23" t="s">
        <v>216</v>
      </c>
      <c r="E307" s="43" t="s">
        <v>8</v>
      </c>
      <c r="F307" s="50"/>
      <c r="G307" s="50">
        <f>I231*ÍndiceCorreçãoNC!$C$7</f>
        <v>0</v>
      </c>
      <c r="H307" s="50">
        <f t="shared" si="12"/>
        <v>0</v>
      </c>
      <c r="I307" s="50">
        <f t="shared" si="13"/>
        <v>503486.39500000002</v>
      </c>
      <c r="J307" s="106" t="str">
        <f t="shared" si="14"/>
        <v/>
      </c>
      <c r="K307" s="105"/>
    </row>
    <row r="308" spans="2:11" ht="12.95" customHeight="1" x14ac:dyDescent="0.25">
      <c r="B308" s="45" t="str">
        <f>VLOOKUP(C308,SintéticoNC!$F$4:$G$83,2,FALSE)</f>
        <v>Cabo Junio Amaral</v>
      </c>
      <c r="C308" s="42" t="s">
        <v>213</v>
      </c>
      <c r="D308" s="23" t="s">
        <v>216</v>
      </c>
      <c r="E308" s="43" t="s">
        <v>8</v>
      </c>
      <c r="F308" s="50"/>
      <c r="G308" s="50">
        <f>I232*ÍndiceCorreçãoNC!$C$7</f>
        <v>0</v>
      </c>
      <c r="H308" s="50">
        <f t="shared" si="12"/>
        <v>0</v>
      </c>
      <c r="I308" s="50">
        <f t="shared" si="13"/>
        <v>93648.469469999996</v>
      </c>
      <c r="J308" s="106" t="str">
        <f t="shared" si="14"/>
        <v/>
      </c>
      <c r="K308" s="105"/>
    </row>
    <row r="309" spans="2:11" ht="12.95" customHeight="1" x14ac:dyDescent="0.25">
      <c r="B309" s="45" t="str">
        <f>VLOOKUP(C309,SintéticoNC!$F$4:$G$83,2,FALSE)</f>
        <v>Leur Lomanto</v>
      </c>
      <c r="C309" s="42" t="s">
        <v>215</v>
      </c>
      <c r="D309" s="23" t="s">
        <v>216</v>
      </c>
      <c r="E309" s="43" t="s">
        <v>8</v>
      </c>
      <c r="F309" s="50"/>
      <c r="G309" s="50">
        <f>I233*ÍndiceCorreçãoNC!$C$7</f>
        <v>0</v>
      </c>
      <c r="H309" s="50">
        <f t="shared" si="12"/>
        <v>0</v>
      </c>
      <c r="I309" s="50">
        <f t="shared" si="13"/>
        <v>28195.238120000002</v>
      </c>
      <c r="J309" s="106" t="str">
        <f t="shared" si="14"/>
        <v/>
      </c>
      <c r="K309" s="105"/>
    </row>
    <row r="310" spans="2:11" ht="12.95" customHeight="1" x14ac:dyDescent="0.25">
      <c r="B310" s="45" t="str">
        <f>VLOOKUP(C310,SintéticoNC!$F$4:$G$83,2,FALSE)</f>
        <v>Bancada de Alagoas</v>
      </c>
      <c r="C310" s="42" t="s">
        <v>141</v>
      </c>
      <c r="D310" s="23" t="s">
        <v>153</v>
      </c>
      <c r="E310" s="43" t="s">
        <v>9</v>
      </c>
      <c r="F310" s="50"/>
      <c r="G310" s="50">
        <f>I234*ÍndiceCorreçãoNC!$C$8</f>
        <v>0</v>
      </c>
      <c r="H310" s="50">
        <f t="shared" si="12"/>
        <v>0</v>
      </c>
      <c r="I310" s="50">
        <f t="shared" si="13"/>
        <v>1814033.9908278328</v>
      </c>
      <c r="J310" s="106" t="str">
        <f t="shared" si="14"/>
        <v/>
      </c>
      <c r="K310" s="105"/>
    </row>
    <row r="311" spans="2:11" ht="12.95" customHeight="1" x14ac:dyDescent="0.25">
      <c r="B311" s="45" t="str">
        <f>VLOOKUP(C311,SintéticoNC!$F$4:$G$83,2,FALSE)</f>
        <v>Bancada de Alagoas</v>
      </c>
      <c r="C311" s="42" t="s">
        <v>142</v>
      </c>
      <c r="D311" s="23" t="s">
        <v>153</v>
      </c>
      <c r="E311" s="43" t="s">
        <v>9</v>
      </c>
      <c r="F311" s="50"/>
      <c r="G311" s="50">
        <f>I235*ÍndiceCorreçãoNC!$C$8</f>
        <v>0</v>
      </c>
      <c r="H311" s="50">
        <f t="shared" si="12"/>
        <v>0</v>
      </c>
      <c r="I311" s="50">
        <f t="shared" si="13"/>
        <v>528056.53107599996</v>
      </c>
      <c r="J311" s="106" t="str">
        <f t="shared" si="14"/>
        <v/>
      </c>
      <c r="K311" s="105"/>
    </row>
    <row r="312" spans="2:11" ht="12.95" customHeight="1" x14ac:dyDescent="0.25">
      <c r="B312" s="45" t="str">
        <f>VLOOKUP(C312,SintéticoNC!$F$4:$G$83,2,FALSE)</f>
        <v>Bancada de Alagoas</v>
      </c>
      <c r="C312" s="42" t="s">
        <v>143</v>
      </c>
      <c r="D312" s="23" t="s">
        <v>153</v>
      </c>
      <c r="E312" s="43" t="s">
        <v>9</v>
      </c>
      <c r="F312" s="50"/>
      <c r="G312" s="50">
        <f>I236*ÍndiceCorreçãoNC!$C$8</f>
        <v>0</v>
      </c>
      <c r="H312" s="50">
        <f t="shared" si="12"/>
        <v>0</v>
      </c>
      <c r="I312" s="50">
        <f t="shared" si="13"/>
        <v>5262250.4896554798</v>
      </c>
      <c r="J312" s="106" t="str">
        <f t="shared" si="14"/>
        <v/>
      </c>
      <c r="K312" s="105"/>
    </row>
    <row r="313" spans="2:11" ht="12.95" customHeight="1" x14ac:dyDescent="0.25">
      <c r="B313" s="45" t="str">
        <f>VLOOKUP(C313,SintéticoNC!$F$4:$G$83,2,FALSE)</f>
        <v>Bancada de Minas Gerais</v>
      </c>
      <c r="C313" s="42" t="s">
        <v>144</v>
      </c>
      <c r="D313" s="23" t="s">
        <v>153</v>
      </c>
      <c r="E313" s="43" t="s">
        <v>9</v>
      </c>
      <c r="F313" s="50"/>
      <c r="G313" s="50">
        <f>I237*ÍndiceCorreçãoNC!$C$8</f>
        <v>0</v>
      </c>
      <c r="H313" s="50">
        <f t="shared" si="12"/>
        <v>0</v>
      </c>
      <c r="I313" s="50">
        <f t="shared" si="13"/>
        <v>13370850.949225677</v>
      </c>
      <c r="J313" s="106" t="str">
        <f t="shared" si="14"/>
        <v/>
      </c>
      <c r="K313" s="105"/>
    </row>
    <row r="314" spans="2:11" ht="12.95" customHeight="1" x14ac:dyDescent="0.25">
      <c r="B314" s="45" t="str">
        <f>VLOOKUP(C314,SintéticoNC!$F$4:$G$83,2,FALSE)</f>
        <v>Bancada de São Paulo</v>
      </c>
      <c r="C314" s="42" t="s">
        <v>145</v>
      </c>
      <c r="D314" s="23" t="s">
        <v>153</v>
      </c>
      <c r="E314" s="43" t="s">
        <v>9</v>
      </c>
      <c r="F314" s="50"/>
      <c r="G314" s="50">
        <f>I238*ÍndiceCorreçãoNC!$C$8</f>
        <v>0</v>
      </c>
      <c r="H314" s="50">
        <f t="shared" si="12"/>
        <v>0</v>
      </c>
      <c r="I314" s="50">
        <f t="shared" si="13"/>
        <v>1555533.3010259799</v>
      </c>
      <c r="J314" s="106" t="str">
        <f t="shared" si="14"/>
        <v/>
      </c>
      <c r="K314" s="105"/>
    </row>
    <row r="315" spans="2:11" ht="12.95" customHeight="1" x14ac:dyDescent="0.25">
      <c r="B315" s="45" t="str">
        <f>VLOOKUP(C315,SintéticoNC!$F$4:$G$83,2,FALSE)</f>
        <v>Bancada do Espírito Santo</v>
      </c>
      <c r="C315" s="42" t="s">
        <v>146</v>
      </c>
      <c r="D315" s="23" t="s">
        <v>153</v>
      </c>
      <c r="E315" s="43" t="s">
        <v>9</v>
      </c>
      <c r="F315" s="50"/>
      <c r="G315" s="50">
        <f>I239*ÍndiceCorreçãoNC!$C$8</f>
        <v>0</v>
      </c>
      <c r="H315" s="50">
        <f t="shared" si="12"/>
        <v>0</v>
      </c>
      <c r="I315" s="50">
        <f t="shared" si="13"/>
        <v>1420853.1473770875</v>
      </c>
      <c r="J315" s="106" t="str">
        <f t="shared" si="14"/>
        <v/>
      </c>
      <c r="K315" s="105"/>
    </row>
    <row r="316" spans="2:11" ht="12.95" customHeight="1" x14ac:dyDescent="0.25">
      <c r="B316" s="45" t="str">
        <f>VLOOKUP(C316,SintéticoNC!$F$4:$G$83,2,FALSE)</f>
        <v>Bancada do Espírito Santo</v>
      </c>
      <c r="C316" s="42" t="s">
        <v>147</v>
      </c>
      <c r="D316" s="23" t="s">
        <v>153</v>
      </c>
      <c r="E316" s="43" t="s">
        <v>9</v>
      </c>
      <c r="F316" s="50"/>
      <c r="G316" s="50">
        <f>I240*ÍndiceCorreçãoNC!$C$8</f>
        <v>0</v>
      </c>
      <c r="H316" s="50">
        <f t="shared" si="12"/>
        <v>0</v>
      </c>
      <c r="I316" s="50">
        <f t="shared" si="13"/>
        <v>2260653.9135500002</v>
      </c>
      <c r="J316" s="106" t="str">
        <f t="shared" si="14"/>
        <v/>
      </c>
      <c r="K316" s="105"/>
    </row>
    <row r="317" spans="2:11" ht="12.95" customHeight="1" x14ac:dyDescent="0.25">
      <c r="B317" s="45" t="str">
        <f>VLOOKUP(C317,SintéticoNC!$F$4:$G$83,2,FALSE)</f>
        <v>Bancada do Espírito Santo</v>
      </c>
      <c r="C317" s="42" t="s">
        <v>148</v>
      </c>
      <c r="D317" s="23" t="s">
        <v>153</v>
      </c>
      <c r="E317" s="43" t="s">
        <v>9</v>
      </c>
      <c r="F317" s="50"/>
      <c r="G317" s="50">
        <f>I241*ÍndiceCorreçãoNC!$C$8</f>
        <v>0</v>
      </c>
      <c r="H317" s="50">
        <f t="shared" si="12"/>
        <v>0</v>
      </c>
      <c r="I317" s="50">
        <f t="shared" si="13"/>
        <v>2771189.1180799999</v>
      </c>
      <c r="J317" s="106" t="str">
        <f t="shared" si="14"/>
        <v/>
      </c>
      <c r="K317" s="105"/>
    </row>
    <row r="318" spans="2:11" ht="12.95" customHeight="1" x14ac:dyDescent="0.25">
      <c r="B318" s="45" t="str">
        <f>VLOOKUP(C318,SintéticoNC!$F$4:$G$83,2,FALSE)</f>
        <v>Bancada do Maranhão</v>
      </c>
      <c r="C318" s="42" t="s">
        <v>149</v>
      </c>
      <c r="D318" s="23" t="s">
        <v>153</v>
      </c>
      <c r="E318" s="43" t="s">
        <v>9</v>
      </c>
      <c r="F318" s="50"/>
      <c r="G318" s="50">
        <f>I242*ÍndiceCorreçãoNC!$C$8</f>
        <v>0</v>
      </c>
      <c r="H318" s="50">
        <f t="shared" si="12"/>
        <v>0</v>
      </c>
      <c r="I318" s="50">
        <f t="shared" si="13"/>
        <v>755229.59250000003</v>
      </c>
      <c r="J318" s="106" t="str">
        <f t="shared" si="14"/>
        <v/>
      </c>
      <c r="K318" s="105"/>
    </row>
    <row r="319" spans="2:11" ht="12.95" customHeight="1" x14ac:dyDescent="0.25">
      <c r="B319" s="45" t="str">
        <f>VLOOKUP(C319,SintéticoNC!$F$4:$G$83,2,FALSE)</f>
        <v>Bancada do Pará</v>
      </c>
      <c r="C319" s="42" t="s">
        <v>152</v>
      </c>
      <c r="D319" s="23" t="s">
        <v>153</v>
      </c>
      <c r="E319" s="43" t="s">
        <v>9</v>
      </c>
      <c r="F319" s="50"/>
      <c r="G319" s="50">
        <f>I243*ÍndiceCorreçãoNC!$C$8</f>
        <v>0</v>
      </c>
      <c r="H319" s="50">
        <f t="shared" si="12"/>
        <v>0</v>
      </c>
      <c r="I319" s="50">
        <f t="shared" si="13"/>
        <v>493416.66710000002</v>
      </c>
      <c r="J319" s="106" t="str">
        <f t="shared" si="14"/>
        <v/>
      </c>
      <c r="K319" s="105"/>
    </row>
    <row r="320" spans="2:11" ht="12.95" customHeight="1" x14ac:dyDescent="0.25">
      <c r="B320" s="45" t="str">
        <f>VLOOKUP(C320,SintéticoNC!$F$4:$G$83,2,FALSE)</f>
        <v>Bancada do Pará</v>
      </c>
      <c r="C320" s="42" t="s">
        <v>151</v>
      </c>
      <c r="D320" s="23" t="s">
        <v>153</v>
      </c>
      <c r="E320" s="43" t="s">
        <v>9</v>
      </c>
      <c r="F320" s="50"/>
      <c r="G320" s="50">
        <f>I244*ÍndiceCorreçãoNC!$C$8</f>
        <v>0</v>
      </c>
      <c r="H320" s="50">
        <f t="shared" si="12"/>
        <v>0</v>
      </c>
      <c r="I320" s="50">
        <f t="shared" si="13"/>
        <v>837197.17760599998</v>
      </c>
      <c r="J320" s="106" t="str">
        <f t="shared" si="14"/>
        <v/>
      </c>
      <c r="K320" s="105"/>
    </row>
    <row r="321" spans="2:11" ht="12.95" customHeight="1" x14ac:dyDescent="0.25">
      <c r="B321" s="45" t="str">
        <f>VLOOKUP(C321,SintéticoNC!$F$4:$G$83,2,FALSE)</f>
        <v>Cabo Junio Amaral</v>
      </c>
      <c r="C321" s="42" t="s">
        <v>150</v>
      </c>
      <c r="D321" s="23" t="s">
        <v>153</v>
      </c>
      <c r="E321" s="43" t="s">
        <v>9</v>
      </c>
      <c r="F321" s="50"/>
      <c r="G321" s="50">
        <f>I245*ÍndiceCorreçãoNC!$C$8</f>
        <v>0</v>
      </c>
      <c r="H321" s="50">
        <f t="shared" si="12"/>
        <v>0</v>
      </c>
      <c r="I321" s="50">
        <f t="shared" si="13"/>
        <v>208443.36752999999</v>
      </c>
      <c r="J321" s="106" t="str">
        <f t="shared" si="14"/>
        <v/>
      </c>
      <c r="K321" s="105"/>
    </row>
    <row r="322" spans="2:11" ht="12.95" customHeight="1" x14ac:dyDescent="0.25">
      <c r="B322" s="45" t="str">
        <f>VLOOKUP(C322,SintéticoNC!$F$4:$G$83,2,FALSE)</f>
        <v>Celso Sabino</v>
      </c>
      <c r="C322" s="42" t="s">
        <v>44</v>
      </c>
      <c r="D322" s="23" t="s">
        <v>153</v>
      </c>
      <c r="E322" s="43" t="s">
        <v>9</v>
      </c>
      <c r="F322" s="50"/>
      <c r="G322" s="50">
        <f>I246*ÍndiceCorreçãoNC!$C$8</f>
        <v>0</v>
      </c>
      <c r="H322" s="50">
        <f t="shared" si="12"/>
        <v>0</v>
      </c>
      <c r="I322" s="50">
        <f t="shared" si="13"/>
        <v>97875.449220310911</v>
      </c>
      <c r="J322" s="106" t="str">
        <f t="shared" si="14"/>
        <v/>
      </c>
      <c r="K322" s="105"/>
    </row>
    <row r="323" spans="2:11" ht="12.95" customHeight="1" x14ac:dyDescent="0.25">
      <c r="B323" s="45" t="str">
        <f>VLOOKUP(C323,SintéticoNC!$F$4:$G$83,2,FALSE)</f>
        <v>Coronel Chrisóstomo</v>
      </c>
      <c r="C323" s="42" t="s">
        <v>47</v>
      </c>
      <c r="D323" s="23" t="s">
        <v>153</v>
      </c>
      <c r="E323" s="43" t="s">
        <v>9</v>
      </c>
      <c r="F323" s="50"/>
      <c r="G323" s="50">
        <f>I247*ÍndiceCorreçãoNC!$C$8</f>
        <v>0</v>
      </c>
      <c r="H323" s="50">
        <f t="shared" si="12"/>
        <v>0</v>
      </c>
      <c r="I323" s="50">
        <f t="shared" si="13"/>
        <v>139465.73141499999</v>
      </c>
      <c r="J323" s="106" t="str">
        <f t="shared" si="14"/>
        <v/>
      </c>
      <c r="K323" s="105"/>
    </row>
    <row r="324" spans="2:11" ht="12.95" customHeight="1" x14ac:dyDescent="0.25">
      <c r="B324" s="45" t="str">
        <f>VLOOKUP(C324,SintéticoNC!$F$4:$G$83,2,FALSE)</f>
        <v>Dimas Fabiano</v>
      </c>
      <c r="C324" s="42" t="s">
        <v>50</v>
      </c>
      <c r="D324" s="23" t="s">
        <v>153</v>
      </c>
      <c r="E324" s="43" t="s">
        <v>9</v>
      </c>
      <c r="F324" s="50"/>
      <c r="G324" s="50">
        <f>I248*ÍndiceCorreçãoNC!$C$8</f>
        <v>0</v>
      </c>
      <c r="H324" s="50">
        <f t="shared" si="12"/>
        <v>0</v>
      </c>
      <c r="I324" s="50">
        <f t="shared" si="13"/>
        <v>208443.36752999999</v>
      </c>
      <c r="J324" s="106" t="str">
        <f t="shared" si="14"/>
        <v/>
      </c>
      <c r="K324" s="105"/>
    </row>
    <row r="325" spans="2:11" ht="12.95" customHeight="1" x14ac:dyDescent="0.25">
      <c r="B325" s="45" t="str">
        <f>VLOOKUP(C325,SintéticoNC!$F$4:$G$83,2,FALSE)</f>
        <v>Edna Henrique</v>
      </c>
      <c r="C325" s="42" t="s">
        <v>53</v>
      </c>
      <c r="D325" s="23" t="s">
        <v>153</v>
      </c>
      <c r="E325" s="43" t="s">
        <v>9</v>
      </c>
      <c r="F325" s="50"/>
      <c r="G325" s="50">
        <f>I249*ÍndiceCorreçãoNC!$C$8</f>
        <v>0</v>
      </c>
      <c r="H325" s="50">
        <f t="shared" si="12"/>
        <v>0</v>
      </c>
      <c r="I325" s="50">
        <f t="shared" si="13"/>
        <v>209450.34031999999</v>
      </c>
      <c r="J325" s="106" t="str">
        <f t="shared" si="14"/>
        <v/>
      </c>
      <c r="K325" s="105"/>
    </row>
    <row r="326" spans="2:11" ht="12.95" customHeight="1" x14ac:dyDescent="0.25">
      <c r="B326" s="45" t="str">
        <f>VLOOKUP(C326,SintéticoNC!$F$4:$G$83,2,FALSE)</f>
        <v>Elias Vaz</v>
      </c>
      <c r="C326" s="42" t="s">
        <v>56</v>
      </c>
      <c r="D326" s="23" t="s">
        <v>153</v>
      </c>
      <c r="E326" s="43" t="s">
        <v>9</v>
      </c>
      <c r="F326" s="50"/>
      <c r="G326" s="50">
        <f>I250*ÍndiceCorreçãoNC!$C$8</f>
        <v>0</v>
      </c>
      <c r="H326" s="50">
        <f t="shared" si="12"/>
        <v>0</v>
      </c>
      <c r="I326" s="50">
        <f t="shared" si="13"/>
        <v>402789.11599999998</v>
      </c>
      <c r="J326" s="106" t="str">
        <f t="shared" si="14"/>
        <v/>
      </c>
      <c r="K326" s="105"/>
    </row>
    <row r="327" spans="2:11" ht="12.95" customHeight="1" x14ac:dyDescent="0.25">
      <c r="B327" s="45" t="str">
        <f>VLOOKUP(C327,SintéticoNC!$F$4:$G$83,2,FALSE)</f>
        <v>Expedito Netto</v>
      </c>
      <c r="C327" s="42" t="s">
        <v>59</v>
      </c>
      <c r="D327" s="23" t="s">
        <v>153</v>
      </c>
      <c r="E327" s="43" t="s">
        <v>9</v>
      </c>
      <c r="F327" s="50"/>
      <c r="G327" s="50">
        <f>I251*ÍndiceCorreçãoNC!$C$8</f>
        <v>0</v>
      </c>
      <c r="H327" s="50">
        <f t="shared" si="12"/>
        <v>0</v>
      </c>
      <c r="I327" s="50">
        <f t="shared" si="13"/>
        <v>283300.95943927957</v>
      </c>
      <c r="J327" s="106" t="str">
        <f t="shared" si="14"/>
        <v/>
      </c>
      <c r="K327" s="105"/>
    </row>
    <row r="328" spans="2:11" ht="12.95" customHeight="1" x14ac:dyDescent="0.25">
      <c r="B328" s="45" t="str">
        <f>VLOOKUP(C328,SintéticoNC!$F$4:$G$83,2,FALSE)</f>
        <v>Fabio Reis</v>
      </c>
      <c r="C328" s="42" t="s">
        <v>62</v>
      </c>
      <c r="D328" s="23" t="s">
        <v>153</v>
      </c>
      <c r="E328" s="43" t="s">
        <v>9</v>
      </c>
      <c r="F328" s="50"/>
      <c r="G328" s="50">
        <f>I252*ÍndiceCorreçãoNC!$C$8</f>
        <v>0</v>
      </c>
      <c r="H328" s="50">
        <f t="shared" si="12"/>
        <v>0</v>
      </c>
      <c r="I328" s="50">
        <f t="shared" si="13"/>
        <v>82156.865781336295</v>
      </c>
      <c r="J328" s="106" t="str">
        <f t="shared" si="14"/>
        <v/>
      </c>
      <c r="K328" s="105"/>
    </row>
    <row r="329" spans="2:11" ht="12.95" customHeight="1" x14ac:dyDescent="0.25">
      <c r="B329" s="45" t="str">
        <f>VLOOKUP(C329,SintéticoNC!$F$4:$G$83,2,FALSE)</f>
        <v>Flavia Arruda</v>
      </c>
      <c r="C329" s="42" t="s">
        <v>65</v>
      </c>
      <c r="D329" s="23" t="s">
        <v>153</v>
      </c>
      <c r="E329" s="43" t="s">
        <v>9</v>
      </c>
      <c r="F329" s="50"/>
      <c r="G329" s="50">
        <f>I253*ÍndiceCorreçãoNC!$C$8</f>
        <v>0</v>
      </c>
      <c r="H329" s="50">
        <f t="shared" si="12"/>
        <v>0</v>
      </c>
      <c r="I329" s="50">
        <f t="shared" si="13"/>
        <v>887563.63045465504</v>
      </c>
      <c r="J329" s="106" t="str">
        <f t="shared" si="14"/>
        <v/>
      </c>
      <c r="K329" s="105"/>
    </row>
    <row r="330" spans="2:11" ht="12.95" customHeight="1" x14ac:dyDescent="0.25">
      <c r="B330" s="45" t="str">
        <f>VLOOKUP(C330,SintéticoNC!$F$4:$G$83,2,FALSE)</f>
        <v>Flaviano Melo</v>
      </c>
      <c r="C330" s="42" t="s">
        <v>68</v>
      </c>
      <c r="D330" s="23" t="s">
        <v>153</v>
      </c>
      <c r="E330" s="43" t="s">
        <v>9</v>
      </c>
      <c r="F330" s="50"/>
      <c r="G330" s="50">
        <f>I254*ÍndiceCorreçãoNC!$C$8</f>
        <v>0</v>
      </c>
      <c r="H330" s="50">
        <f t="shared" si="12"/>
        <v>0</v>
      </c>
      <c r="I330" s="50">
        <f t="shared" si="13"/>
        <v>506301.91106029582</v>
      </c>
      <c r="J330" s="106" t="str">
        <f t="shared" si="14"/>
        <v/>
      </c>
      <c r="K330" s="105"/>
    </row>
    <row r="331" spans="2:11" ht="12.95" customHeight="1" x14ac:dyDescent="0.25">
      <c r="B331" s="45" t="str">
        <f>VLOOKUP(C331,SintéticoNC!$F$4:$G$83,2,FALSE)</f>
        <v>General Girão</v>
      </c>
      <c r="C331" s="42" t="s">
        <v>71</v>
      </c>
      <c r="D331" s="23" t="s">
        <v>153</v>
      </c>
      <c r="E331" s="43" t="s">
        <v>9</v>
      </c>
      <c r="F331" s="50"/>
      <c r="G331" s="50">
        <f>I255*ÍndiceCorreçãoNC!$C$8</f>
        <v>0</v>
      </c>
      <c r="H331" s="50">
        <f t="shared" si="12"/>
        <v>0</v>
      </c>
      <c r="I331" s="50">
        <f t="shared" si="13"/>
        <v>208443.36752999999</v>
      </c>
      <c r="J331" s="106" t="str">
        <f t="shared" si="14"/>
        <v/>
      </c>
      <c r="K331" s="105"/>
    </row>
    <row r="332" spans="2:11" ht="12.95" customHeight="1" x14ac:dyDescent="0.25">
      <c r="B332" s="45" t="str">
        <f>VLOOKUP(C332,SintéticoNC!$F$4:$G$83,2,FALSE)</f>
        <v>João Roma</v>
      </c>
      <c r="C332" s="42" t="s">
        <v>74</v>
      </c>
      <c r="D332" s="23" t="s">
        <v>153</v>
      </c>
      <c r="E332" s="43" t="s">
        <v>9</v>
      </c>
      <c r="F332" s="50"/>
      <c r="G332" s="50">
        <f>I256*ÍndiceCorreçãoNC!$C$8</f>
        <v>0</v>
      </c>
      <c r="H332" s="50">
        <f t="shared" si="12"/>
        <v>0</v>
      </c>
      <c r="I332" s="50">
        <f t="shared" si="13"/>
        <v>72671.020983889903</v>
      </c>
      <c r="J332" s="106" t="str">
        <f t="shared" si="14"/>
        <v/>
      </c>
      <c r="K332" s="105"/>
    </row>
    <row r="333" spans="2:11" ht="12.95" customHeight="1" x14ac:dyDescent="0.25">
      <c r="B333" s="45" t="str">
        <f>VLOOKUP(C333,SintéticoNC!$F$4:$G$83,2,FALSE)</f>
        <v>Joenia Wapichana</v>
      </c>
      <c r="C333" s="42" t="s">
        <v>77</v>
      </c>
      <c r="D333" s="23" t="s">
        <v>153</v>
      </c>
      <c r="E333" s="43" t="s">
        <v>9</v>
      </c>
      <c r="F333" s="50"/>
      <c r="G333" s="50">
        <f>I257*ÍndiceCorreçãoNC!$C$8</f>
        <v>0</v>
      </c>
      <c r="H333" s="50">
        <f t="shared" si="12"/>
        <v>0</v>
      </c>
      <c r="I333" s="50">
        <f t="shared" si="13"/>
        <v>9161.8613719917994</v>
      </c>
      <c r="J333" s="106" t="str">
        <f t="shared" si="14"/>
        <v/>
      </c>
      <c r="K333" s="105"/>
    </row>
    <row r="334" spans="2:11" ht="12.95" customHeight="1" x14ac:dyDescent="0.25">
      <c r="B334" s="45" t="str">
        <f>VLOOKUP(C334,SintéticoNC!$F$4:$G$83,2,FALSE)</f>
        <v>José Nunes</v>
      </c>
      <c r="C334" s="42" t="s">
        <v>80</v>
      </c>
      <c r="D334" s="23" t="s">
        <v>153</v>
      </c>
      <c r="E334" s="43" t="s">
        <v>9</v>
      </c>
      <c r="F334" s="50"/>
      <c r="G334" s="50">
        <f>I258*ÍndiceCorreçãoNC!$C$8</f>
        <v>0</v>
      </c>
      <c r="H334" s="50">
        <f t="shared" si="12"/>
        <v>0</v>
      </c>
      <c r="I334" s="50">
        <f t="shared" si="13"/>
        <v>208443.36752999999</v>
      </c>
      <c r="J334" s="106" t="str">
        <f t="shared" si="14"/>
        <v/>
      </c>
      <c r="K334" s="105"/>
    </row>
    <row r="335" spans="2:11" ht="12.95" customHeight="1" x14ac:dyDescent="0.25">
      <c r="B335" s="45" t="str">
        <f>VLOOKUP(C335,SintéticoNC!$F$4:$G$83,2,FALSE)</f>
        <v>Josivaldo JP</v>
      </c>
      <c r="C335" s="42" t="s">
        <v>83</v>
      </c>
      <c r="D335" s="23" t="s">
        <v>153</v>
      </c>
      <c r="E335" s="43" t="s">
        <v>9</v>
      </c>
      <c r="F335" s="50"/>
      <c r="G335" s="50">
        <f>I259*ÍndiceCorreçãoNC!$C$8</f>
        <v>0</v>
      </c>
      <c r="H335" s="50">
        <f t="shared" si="12"/>
        <v>0</v>
      </c>
      <c r="I335" s="50">
        <f t="shared" si="13"/>
        <v>102711.22457999999</v>
      </c>
      <c r="J335" s="106" t="str">
        <f t="shared" si="14"/>
        <v/>
      </c>
      <c r="K335" s="105"/>
    </row>
    <row r="336" spans="2:11" ht="12.95" customHeight="1" x14ac:dyDescent="0.25">
      <c r="B336" s="45" t="str">
        <f>VLOOKUP(C336,SintéticoNC!$F$4:$G$83,2,FALSE)</f>
        <v>Junior Lourenço</v>
      </c>
      <c r="C336" s="42" t="s">
        <v>86</v>
      </c>
      <c r="D336" s="23" t="s">
        <v>153</v>
      </c>
      <c r="E336" s="43" t="s">
        <v>9</v>
      </c>
      <c r="F336" s="50"/>
      <c r="G336" s="50">
        <f>I260*ÍndiceCorreçãoNC!$C$8</f>
        <v>0</v>
      </c>
      <c r="H336" s="50">
        <f t="shared" si="12"/>
        <v>0</v>
      </c>
      <c r="I336" s="50">
        <f t="shared" si="13"/>
        <v>347405.61255000002</v>
      </c>
      <c r="J336" s="106" t="str">
        <f t="shared" si="14"/>
        <v/>
      </c>
      <c r="K336" s="105"/>
    </row>
    <row r="337" spans="2:11" ht="12.95" customHeight="1" x14ac:dyDescent="0.25">
      <c r="B337" s="45" t="str">
        <f>VLOOKUP(C337,SintéticoNC!$F$4:$G$83,2,FALSE)</f>
        <v>Leo de Brito</v>
      </c>
      <c r="C337" s="42" t="s">
        <v>89</v>
      </c>
      <c r="D337" s="23" t="s">
        <v>153</v>
      </c>
      <c r="E337" s="43" t="s">
        <v>9</v>
      </c>
      <c r="F337" s="50"/>
      <c r="G337" s="50">
        <f>I261*ÍndiceCorreçãoNC!$C$8</f>
        <v>0</v>
      </c>
      <c r="H337" s="50">
        <f t="shared" si="12"/>
        <v>0</v>
      </c>
      <c r="I337" s="50">
        <f t="shared" si="13"/>
        <v>432998.29969999997</v>
      </c>
      <c r="J337" s="106" t="str">
        <f t="shared" si="14"/>
        <v/>
      </c>
      <c r="K337" s="105"/>
    </row>
    <row r="338" spans="2:11" ht="12.95" customHeight="1" x14ac:dyDescent="0.25">
      <c r="B338" s="45" t="str">
        <f>VLOOKUP(C338,SintéticoNC!$F$4:$G$83,2,FALSE)</f>
        <v>Leur Lomanto</v>
      </c>
      <c r="C338" s="42" t="s">
        <v>92</v>
      </c>
      <c r="D338" s="23" t="s">
        <v>153</v>
      </c>
      <c r="E338" s="43" t="s">
        <v>9</v>
      </c>
      <c r="F338" s="50"/>
      <c r="G338" s="50">
        <f>I262*ÍndiceCorreçãoNC!$C$8</f>
        <v>0</v>
      </c>
      <c r="H338" s="50">
        <f t="shared" ref="H338:H401" si="15">IF(I262+G338&gt;F338,F338,I262+G338)</f>
        <v>0</v>
      </c>
      <c r="I338" s="50">
        <f t="shared" ref="I338:I401" si="16">IF(F338&gt;I262+G338,"",I262+G338-F338)</f>
        <v>66563.217456416998</v>
      </c>
      <c r="J338" s="106" t="str">
        <f t="shared" ref="J338:J401" si="17">IF(I338="",F338-(I262+G338),"")</f>
        <v/>
      </c>
      <c r="K338" s="105"/>
    </row>
    <row r="339" spans="2:11" ht="12.95" customHeight="1" x14ac:dyDescent="0.25">
      <c r="B339" s="45" t="str">
        <f>VLOOKUP(C339,SintéticoNC!$F$4:$G$83,2,FALSE)</f>
        <v>Luciano Bivar</v>
      </c>
      <c r="C339" s="42" t="s">
        <v>95</v>
      </c>
      <c r="D339" s="23" t="s">
        <v>153</v>
      </c>
      <c r="E339" s="43" t="s">
        <v>9</v>
      </c>
      <c r="F339" s="50"/>
      <c r="G339" s="50">
        <f>I263*ÍndiceCorreçãoNC!$C$8</f>
        <v>0</v>
      </c>
      <c r="H339" s="50">
        <f t="shared" si="15"/>
        <v>0</v>
      </c>
      <c r="I339" s="50">
        <f t="shared" si="16"/>
        <v>2492.2979341616001</v>
      </c>
      <c r="J339" s="106" t="str">
        <f t="shared" si="17"/>
        <v/>
      </c>
      <c r="K339" s="105"/>
    </row>
    <row r="340" spans="2:11" ht="12.95" customHeight="1" x14ac:dyDescent="0.25">
      <c r="B340" s="45" t="str">
        <f>VLOOKUP(C340,SintéticoNC!$F$4:$G$83,2,FALSE)</f>
        <v>Luis Tibé</v>
      </c>
      <c r="C340" s="42" t="s">
        <v>98</v>
      </c>
      <c r="D340" s="23" t="s">
        <v>153</v>
      </c>
      <c r="E340" s="43" t="s">
        <v>9</v>
      </c>
      <c r="F340" s="50"/>
      <c r="G340" s="50">
        <f>I264*ÍndiceCorreçãoNC!$C$8</f>
        <v>0</v>
      </c>
      <c r="H340" s="50">
        <f t="shared" si="15"/>
        <v>0</v>
      </c>
      <c r="I340" s="50">
        <f t="shared" si="16"/>
        <v>208443.36752999999</v>
      </c>
      <c r="J340" s="106" t="str">
        <f t="shared" si="17"/>
        <v/>
      </c>
      <c r="K340" s="105"/>
    </row>
    <row r="341" spans="2:11" ht="12.95" customHeight="1" x14ac:dyDescent="0.25">
      <c r="B341" s="45" t="str">
        <f>VLOOKUP(C341,SintéticoNC!$F$4:$G$83,2,FALSE)</f>
        <v>Mara Rocha</v>
      </c>
      <c r="C341" s="42" t="s">
        <v>101</v>
      </c>
      <c r="D341" s="23" t="s">
        <v>153</v>
      </c>
      <c r="E341" s="43" t="s">
        <v>9</v>
      </c>
      <c r="F341" s="50"/>
      <c r="G341" s="50">
        <f>I265*ÍndiceCorreçãoNC!$C$8</f>
        <v>0</v>
      </c>
      <c r="H341" s="50">
        <f t="shared" si="15"/>
        <v>0</v>
      </c>
      <c r="I341" s="50">
        <f t="shared" si="16"/>
        <v>411222.61381352897</v>
      </c>
      <c r="J341" s="106" t="str">
        <f t="shared" si="17"/>
        <v/>
      </c>
      <c r="K341" s="105"/>
    </row>
    <row r="342" spans="2:11" ht="12.95" customHeight="1" x14ac:dyDescent="0.25">
      <c r="B342" s="45" t="str">
        <f>VLOOKUP(C342,SintéticoNC!$F$4:$G$83,2,FALSE)</f>
        <v>Marx Beltrão</v>
      </c>
      <c r="C342" s="42" t="s">
        <v>104</v>
      </c>
      <c r="D342" s="23" t="s">
        <v>153</v>
      </c>
      <c r="E342" s="43" t="s">
        <v>9</v>
      </c>
      <c r="F342" s="50"/>
      <c r="G342" s="50">
        <f>I266*ÍndiceCorreçãoNC!$C$8</f>
        <v>0</v>
      </c>
      <c r="H342" s="50">
        <f t="shared" si="15"/>
        <v>0</v>
      </c>
      <c r="I342" s="50">
        <f t="shared" si="16"/>
        <v>208443.36752999999</v>
      </c>
      <c r="J342" s="106" t="str">
        <f t="shared" si="17"/>
        <v/>
      </c>
      <c r="K342" s="105"/>
    </row>
    <row r="343" spans="2:11" ht="12.95" customHeight="1" x14ac:dyDescent="0.25">
      <c r="B343" s="45" t="str">
        <f>VLOOKUP(C343,SintéticoNC!$F$4:$G$83,2,FALSE)</f>
        <v>Ministério das Comunicações</v>
      </c>
      <c r="C343" s="42" t="s">
        <v>107</v>
      </c>
      <c r="D343" s="23" t="s">
        <v>153</v>
      </c>
      <c r="E343" s="43" t="s">
        <v>9</v>
      </c>
      <c r="F343" s="50"/>
      <c r="G343" s="50">
        <f>I267*ÍndiceCorreçãoNC!$C$8</f>
        <v>0</v>
      </c>
      <c r="H343" s="50">
        <f t="shared" si="15"/>
        <v>0</v>
      </c>
      <c r="I343" s="50">
        <f t="shared" si="16"/>
        <v>15499755.251688881</v>
      </c>
      <c r="J343" s="106" t="str">
        <f t="shared" si="17"/>
        <v/>
      </c>
      <c r="K343" s="105"/>
    </row>
    <row r="344" spans="2:11" ht="12.95" customHeight="1" x14ac:dyDescent="0.25">
      <c r="B344" s="45" t="str">
        <f>VLOOKUP(C344,SintéticoNC!$F$4:$G$83,2,FALSE)</f>
        <v>Ministério das Comunicações</v>
      </c>
      <c r="C344" s="42" t="s">
        <v>109</v>
      </c>
      <c r="D344" s="23" t="s">
        <v>153</v>
      </c>
      <c r="E344" s="43" t="s">
        <v>9</v>
      </c>
      <c r="F344" s="50"/>
      <c r="G344" s="50">
        <f>I268*ÍndiceCorreçãoNC!$C$8</f>
        <v>0</v>
      </c>
      <c r="H344" s="50">
        <f t="shared" si="15"/>
        <v>0</v>
      </c>
      <c r="I344" s="50">
        <f t="shared" si="16"/>
        <v>3713715.64952</v>
      </c>
      <c r="J344" s="106" t="str">
        <f t="shared" si="17"/>
        <v/>
      </c>
      <c r="K344" s="105"/>
    </row>
    <row r="345" spans="2:11" ht="12.95" customHeight="1" x14ac:dyDescent="0.25">
      <c r="B345" s="45" t="str">
        <f>VLOOKUP(C345,SintéticoNC!$F$4:$G$83,2,FALSE)</f>
        <v>Ministério das Comunicações</v>
      </c>
      <c r="C345" s="42" t="s">
        <v>111</v>
      </c>
      <c r="D345" s="23" t="s">
        <v>153</v>
      </c>
      <c r="E345" s="43" t="s">
        <v>9</v>
      </c>
      <c r="F345" s="50"/>
      <c r="G345" s="50">
        <f>I269*ÍndiceCorreçãoNC!$C$8</f>
        <v>0</v>
      </c>
      <c r="H345" s="50">
        <f t="shared" si="15"/>
        <v>0</v>
      </c>
      <c r="I345" s="50">
        <f t="shared" si="16"/>
        <v>10069727.9</v>
      </c>
      <c r="J345" s="106" t="str">
        <f t="shared" si="17"/>
        <v/>
      </c>
      <c r="K345" s="105"/>
    </row>
    <row r="346" spans="2:11" ht="12.95" customHeight="1" x14ac:dyDescent="0.25">
      <c r="B346" s="45" t="str">
        <f>VLOOKUP(C346,SintéticoNC!$F$4:$G$83,2,FALSE)</f>
        <v>Ministério da Educação</v>
      </c>
      <c r="C346" s="42" t="s">
        <v>114</v>
      </c>
      <c r="D346" s="23" t="s">
        <v>153</v>
      </c>
      <c r="E346" s="43" t="s">
        <v>9</v>
      </c>
      <c r="F346" s="50"/>
      <c r="G346" s="50">
        <f>I270*ÍndiceCorreçãoNC!$C$8</f>
        <v>0</v>
      </c>
      <c r="H346" s="50">
        <f t="shared" si="15"/>
        <v>0</v>
      </c>
      <c r="I346" s="50">
        <f t="shared" si="16"/>
        <v>16980781.538382418</v>
      </c>
      <c r="J346" s="106" t="str">
        <f t="shared" si="17"/>
        <v/>
      </c>
      <c r="K346" s="105"/>
    </row>
    <row r="347" spans="2:11" ht="12.95" customHeight="1" x14ac:dyDescent="0.25">
      <c r="B347" s="45" t="str">
        <f>VLOOKUP(C347,SintéticoNC!$F$4:$G$83,2,FALSE)</f>
        <v>Ministério da Educação</v>
      </c>
      <c r="C347" s="42" t="s">
        <v>116</v>
      </c>
      <c r="D347" s="23" t="s">
        <v>153</v>
      </c>
      <c r="E347" s="43" t="s">
        <v>9</v>
      </c>
      <c r="F347" s="50"/>
      <c r="G347" s="50">
        <f>I271*ÍndiceCorreçãoNC!$C$8</f>
        <v>0</v>
      </c>
      <c r="H347" s="50">
        <f t="shared" si="15"/>
        <v>0</v>
      </c>
      <c r="I347" s="50">
        <f t="shared" si="16"/>
        <v>3706666.8399899998</v>
      </c>
      <c r="J347" s="106" t="str">
        <f t="shared" si="17"/>
        <v/>
      </c>
      <c r="K347" s="105"/>
    </row>
    <row r="348" spans="2:11" ht="12.95" customHeight="1" x14ac:dyDescent="0.25">
      <c r="B348" s="45" t="str">
        <f>VLOOKUP(C348,SintéticoNC!$F$4:$G$83,2,FALSE)</f>
        <v>Ministério da Justiça</v>
      </c>
      <c r="C348" s="42" t="s">
        <v>119</v>
      </c>
      <c r="D348" s="23" t="s">
        <v>153</v>
      </c>
      <c r="E348" s="43" t="s">
        <v>9</v>
      </c>
      <c r="F348" s="50"/>
      <c r="G348" s="50">
        <f>I272*ÍndiceCorreçãoNC!$C$8</f>
        <v>0</v>
      </c>
      <c r="H348" s="50">
        <f t="shared" si="15"/>
        <v>0</v>
      </c>
      <c r="I348" s="50">
        <f t="shared" si="16"/>
        <v>630294.98193109501</v>
      </c>
      <c r="J348" s="106" t="str">
        <f t="shared" si="17"/>
        <v/>
      </c>
      <c r="K348" s="105"/>
    </row>
    <row r="349" spans="2:11" ht="12.95" customHeight="1" x14ac:dyDescent="0.25">
      <c r="B349" s="45" t="str">
        <f>VLOOKUP(C349,SintéticoNC!$F$4:$G$83,2,FALSE)</f>
        <v>Ministério do Meio Ambiente</v>
      </c>
      <c r="C349" s="42" t="s">
        <v>122</v>
      </c>
      <c r="D349" s="23" t="s">
        <v>153</v>
      </c>
      <c r="E349" s="43" t="s">
        <v>9</v>
      </c>
      <c r="F349" s="50"/>
      <c r="G349" s="50">
        <f>I273*ÍndiceCorreçãoNC!$C$8</f>
        <v>0</v>
      </c>
      <c r="H349" s="50">
        <f t="shared" si="15"/>
        <v>0</v>
      </c>
      <c r="I349" s="50">
        <f t="shared" si="16"/>
        <v>108551.66676199999</v>
      </c>
      <c r="J349" s="106" t="str">
        <f t="shared" si="17"/>
        <v/>
      </c>
      <c r="K349" s="105"/>
    </row>
    <row r="350" spans="2:11" ht="12.95" customHeight="1" x14ac:dyDescent="0.25">
      <c r="B350" s="45" t="str">
        <f>VLOOKUP(C350,SintéticoNC!$F$4:$G$83,2,FALSE)</f>
        <v>Perpétua Almeida</v>
      </c>
      <c r="C350" s="42" t="s">
        <v>125</v>
      </c>
      <c r="D350" s="23" t="s">
        <v>153</v>
      </c>
      <c r="E350" s="43" t="s">
        <v>9</v>
      </c>
      <c r="F350" s="50"/>
      <c r="G350" s="50">
        <f>I274*ÍndiceCorreçãoNC!$C$8</f>
        <v>0</v>
      </c>
      <c r="H350" s="50">
        <f t="shared" si="15"/>
        <v>0</v>
      </c>
      <c r="I350" s="50">
        <f t="shared" si="16"/>
        <v>416886.73505999998</v>
      </c>
      <c r="J350" s="106" t="str">
        <f t="shared" si="17"/>
        <v/>
      </c>
      <c r="K350" s="105"/>
    </row>
    <row r="351" spans="2:11" ht="12.95" customHeight="1" x14ac:dyDescent="0.25">
      <c r="B351" s="45" t="str">
        <f>VLOOKUP(C351,SintéticoNC!$F$4:$G$83,2,FALSE)</f>
        <v>PRF RO</v>
      </c>
      <c r="C351" s="42" t="s">
        <v>128</v>
      </c>
      <c r="D351" s="23" t="s">
        <v>153</v>
      </c>
      <c r="E351" s="43" t="s">
        <v>9</v>
      </c>
      <c r="F351" s="50"/>
      <c r="G351" s="50">
        <f>I275*ÍndiceCorreçãoNC!$C$8</f>
        <v>0</v>
      </c>
      <c r="H351" s="50">
        <f t="shared" si="15"/>
        <v>0</v>
      </c>
      <c r="I351" s="50">
        <f t="shared" si="16"/>
        <v>46723.537455999998</v>
      </c>
      <c r="J351" s="106" t="str">
        <f t="shared" si="17"/>
        <v/>
      </c>
      <c r="K351" s="105"/>
    </row>
    <row r="352" spans="2:11" ht="12.95" customHeight="1" x14ac:dyDescent="0.25">
      <c r="B352" s="45" t="str">
        <f>VLOOKUP(C352,SintéticoNC!$F$4:$G$83,2,FALSE)</f>
        <v>Senador Confúcio Moura</v>
      </c>
      <c r="C352" s="42" t="s">
        <v>131</v>
      </c>
      <c r="D352" s="23" t="s">
        <v>153</v>
      </c>
      <c r="E352" s="43" t="s">
        <v>9</v>
      </c>
      <c r="F352" s="50"/>
      <c r="G352" s="50">
        <f>I276*ÍndiceCorreçãoNC!$C$8</f>
        <v>0</v>
      </c>
      <c r="H352" s="50">
        <f t="shared" si="15"/>
        <v>0</v>
      </c>
      <c r="I352" s="50">
        <f t="shared" si="16"/>
        <v>345423.16507887124</v>
      </c>
      <c r="J352" s="106" t="str">
        <f t="shared" si="17"/>
        <v/>
      </c>
      <c r="K352" s="105"/>
    </row>
    <row r="353" spans="2:11" ht="12.95" customHeight="1" x14ac:dyDescent="0.25">
      <c r="B353" s="45" t="str">
        <f>VLOOKUP(C353,SintéticoNC!$F$4:$G$83,2,FALSE)</f>
        <v>Sérgio Petecão</v>
      </c>
      <c r="C353" s="42" t="s">
        <v>134</v>
      </c>
      <c r="D353" s="23" t="s">
        <v>153</v>
      </c>
      <c r="E353" s="43" t="s">
        <v>9</v>
      </c>
      <c r="F353" s="50"/>
      <c r="G353" s="50">
        <f>I277*ÍndiceCorreçãoNC!$C$8</f>
        <v>0</v>
      </c>
      <c r="H353" s="50">
        <f t="shared" si="15"/>
        <v>0</v>
      </c>
      <c r="I353" s="50">
        <f t="shared" si="16"/>
        <v>286973.14753094001</v>
      </c>
      <c r="J353" s="106" t="str">
        <f t="shared" si="17"/>
        <v/>
      </c>
      <c r="K353" s="105"/>
    </row>
    <row r="354" spans="2:11" ht="12.95" customHeight="1" x14ac:dyDescent="0.25">
      <c r="B354" s="45" t="str">
        <f>VLOOKUP(C354,SintéticoNC!$F$4:$G$83,2,FALSE)</f>
        <v>Soraya Thronicke</v>
      </c>
      <c r="C354" s="42" t="s">
        <v>137</v>
      </c>
      <c r="D354" s="23" t="s">
        <v>153</v>
      </c>
      <c r="E354" s="43" t="s">
        <v>9</v>
      </c>
      <c r="F354" s="50"/>
      <c r="G354" s="50">
        <f>I278*ÍndiceCorreçãoNC!$C$8</f>
        <v>0</v>
      </c>
      <c r="H354" s="50">
        <f t="shared" si="15"/>
        <v>0</v>
      </c>
      <c r="I354" s="50">
        <f t="shared" si="16"/>
        <v>347405.61255000002</v>
      </c>
      <c r="J354" s="106" t="str">
        <f t="shared" si="17"/>
        <v/>
      </c>
      <c r="K354" s="105"/>
    </row>
    <row r="355" spans="2:11" ht="12.95" customHeight="1" x14ac:dyDescent="0.25">
      <c r="B355" s="45" t="str">
        <f>VLOOKUP(C355,SintéticoNC!$F$4:$G$83,2,FALSE)</f>
        <v>Uldurico Junior</v>
      </c>
      <c r="C355" s="42" t="s">
        <v>140</v>
      </c>
      <c r="D355" s="23" t="s">
        <v>153</v>
      </c>
      <c r="E355" s="43" t="s">
        <v>9</v>
      </c>
      <c r="F355" s="50"/>
      <c r="G355" s="50">
        <f>I279*ÍndiceCorreçãoNC!$C$8</f>
        <v>0</v>
      </c>
      <c r="H355" s="50">
        <f t="shared" si="15"/>
        <v>0</v>
      </c>
      <c r="I355" s="50">
        <f t="shared" si="16"/>
        <v>311154.59211000003</v>
      </c>
      <c r="J355" s="106" t="str">
        <f t="shared" si="17"/>
        <v/>
      </c>
      <c r="K355" s="105"/>
    </row>
    <row r="356" spans="2:11" ht="12.95" customHeight="1" x14ac:dyDescent="0.25">
      <c r="B356" s="45" t="str">
        <f>VLOOKUP(C356,SintéticoNC!$F$4:$G$83,2,FALSE)</f>
        <v>Bancada de Alagoas</v>
      </c>
      <c r="C356" s="42" t="s">
        <v>156</v>
      </c>
      <c r="D356" s="23" t="s">
        <v>216</v>
      </c>
      <c r="E356" s="43" t="s">
        <v>9</v>
      </c>
      <c r="F356" s="50"/>
      <c r="G356" s="50">
        <f>I280*ÍndiceCorreçãoNC!$C$8</f>
        <v>0</v>
      </c>
      <c r="H356" s="50">
        <f t="shared" si="15"/>
        <v>0</v>
      </c>
      <c r="I356" s="50">
        <f t="shared" si="16"/>
        <v>612239.45632</v>
      </c>
      <c r="J356" s="106" t="str">
        <f t="shared" si="17"/>
        <v/>
      </c>
      <c r="K356" s="105"/>
    </row>
    <row r="357" spans="2:11" ht="12.95" customHeight="1" x14ac:dyDescent="0.25">
      <c r="B357" s="45" t="str">
        <f>VLOOKUP(C357,SintéticoNC!$F$4:$G$83,2,FALSE)</f>
        <v>Bancada de Alagoas</v>
      </c>
      <c r="C357" s="42" t="s">
        <v>158</v>
      </c>
      <c r="D357" s="23" t="s">
        <v>216</v>
      </c>
      <c r="E357" s="43" t="s">
        <v>9</v>
      </c>
      <c r="F357" s="50"/>
      <c r="G357" s="50">
        <f>I281*ÍndiceCorreçãoNC!$C$8</f>
        <v>0</v>
      </c>
      <c r="H357" s="50">
        <f t="shared" si="15"/>
        <v>0</v>
      </c>
      <c r="I357" s="50">
        <f t="shared" si="16"/>
        <v>176220.23824999999</v>
      </c>
      <c r="J357" s="106" t="str">
        <f t="shared" si="17"/>
        <v/>
      </c>
      <c r="K357" s="105"/>
    </row>
    <row r="358" spans="2:11" ht="12.95" customHeight="1" x14ac:dyDescent="0.25">
      <c r="B358" s="45" t="str">
        <f>VLOOKUP(C358,SintéticoNC!$F$4:$G$83,2,FALSE)</f>
        <v>Bancada de Alagoas</v>
      </c>
      <c r="C358" s="42" t="s">
        <v>160</v>
      </c>
      <c r="D358" s="23" t="s">
        <v>216</v>
      </c>
      <c r="E358" s="43" t="s">
        <v>9</v>
      </c>
      <c r="F358" s="50"/>
      <c r="G358" s="50">
        <f>I282*ÍndiceCorreçãoNC!$C$8</f>
        <v>0</v>
      </c>
      <c r="H358" s="50">
        <f t="shared" si="15"/>
        <v>0</v>
      </c>
      <c r="I358" s="50">
        <f t="shared" si="16"/>
        <v>755229.59250000003</v>
      </c>
      <c r="J358" s="106" t="str">
        <f t="shared" si="17"/>
        <v/>
      </c>
      <c r="K358" s="105"/>
    </row>
    <row r="359" spans="2:11" ht="12.95" customHeight="1" x14ac:dyDescent="0.25">
      <c r="B359" s="45" t="str">
        <f>VLOOKUP(C359,SintéticoNC!$F$4:$G$83,2,FALSE)</f>
        <v>Bancada de Minas Gerais</v>
      </c>
      <c r="C359" s="42" t="s">
        <v>162</v>
      </c>
      <c r="D359" s="23" t="s">
        <v>216</v>
      </c>
      <c r="E359" s="43" t="s">
        <v>9</v>
      </c>
      <c r="F359" s="50"/>
      <c r="G359" s="50">
        <f>I283*ÍndiceCorreçãoNC!$C$8</f>
        <v>0</v>
      </c>
      <c r="H359" s="50">
        <f t="shared" si="15"/>
        <v>0</v>
      </c>
      <c r="I359" s="50">
        <f t="shared" si="16"/>
        <v>5236258.5080000004</v>
      </c>
      <c r="J359" s="106" t="str">
        <f t="shared" si="17"/>
        <v/>
      </c>
      <c r="K359" s="105"/>
    </row>
    <row r="360" spans="2:11" ht="12.95" customHeight="1" x14ac:dyDescent="0.25">
      <c r="B360" s="45" t="str">
        <f>VLOOKUP(C360,SintéticoNC!$F$4:$G$83,2,FALSE)</f>
        <v>Bancada de São Paulo</v>
      </c>
      <c r="C360" s="42" t="s">
        <v>164</v>
      </c>
      <c r="D360" s="23" t="s">
        <v>216</v>
      </c>
      <c r="E360" s="43" t="s">
        <v>9</v>
      </c>
      <c r="F360" s="50"/>
      <c r="G360" s="50">
        <f>I284*ÍndiceCorreçãoNC!$C$8</f>
        <v>0</v>
      </c>
      <c r="H360" s="50">
        <f t="shared" si="15"/>
        <v>0</v>
      </c>
      <c r="I360" s="50">
        <f t="shared" si="16"/>
        <v>700128.04143119999</v>
      </c>
      <c r="J360" s="106" t="str">
        <f t="shared" si="17"/>
        <v/>
      </c>
      <c r="K360" s="105"/>
    </row>
    <row r="361" spans="2:11" ht="12.95" customHeight="1" x14ac:dyDescent="0.25">
      <c r="B361" s="45" t="str">
        <f>VLOOKUP(C361,SintéticoNC!$F$4:$G$83,2,FALSE)</f>
        <v>Bancada do Espírito Santo</v>
      </c>
      <c r="C361" s="42" t="s">
        <v>166</v>
      </c>
      <c r="D361" s="23" t="s">
        <v>216</v>
      </c>
      <c r="E361" s="43" t="s">
        <v>9</v>
      </c>
      <c r="F361" s="50"/>
      <c r="G361" s="50">
        <f>I285*ÍndiceCorreçãoNC!$C$8</f>
        <v>0</v>
      </c>
      <c r="H361" s="50">
        <f t="shared" si="15"/>
        <v>0</v>
      </c>
      <c r="I361" s="50">
        <f t="shared" si="16"/>
        <v>788459.69457000005</v>
      </c>
      <c r="J361" s="106" t="str">
        <f t="shared" si="17"/>
        <v/>
      </c>
      <c r="K361" s="105"/>
    </row>
    <row r="362" spans="2:11" ht="12.95" customHeight="1" x14ac:dyDescent="0.25">
      <c r="B362" s="45" t="str">
        <f>VLOOKUP(C362,SintéticoNC!$F$4:$G$83,2,FALSE)</f>
        <v>Bancada do Espírito Santo</v>
      </c>
      <c r="C362" s="42" t="s">
        <v>168</v>
      </c>
      <c r="D362" s="23" t="s">
        <v>216</v>
      </c>
      <c r="E362" s="43" t="s">
        <v>9</v>
      </c>
      <c r="F362" s="50"/>
      <c r="G362" s="50">
        <f>I286*ÍndiceCorreçãoNC!$C$8</f>
        <v>0</v>
      </c>
      <c r="H362" s="50">
        <f t="shared" si="15"/>
        <v>0</v>
      </c>
      <c r="I362" s="50">
        <f t="shared" si="16"/>
        <v>846012.20733993209</v>
      </c>
      <c r="J362" s="106" t="str">
        <f t="shared" si="17"/>
        <v/>
      </c>
      <c r="K362" s="105"/>
    </row>
    <row r="363" spans="2:11" ht="12.95" customHeight="1" x14ac:dyDescent="0.25">
      <c r="B363" s="45" t="str">
        <f>VLOOKUP(C363,SintéticoNC!$F$4:$G$83,2,FALSE)</f>
        <v>Bancada do Pará</v>
      </c>
      <c r="C363" s="42" t="s">
        <v>170</v>
      </c>
      <c r="D363" s="23" t="s">
        <v>216</v>
      </c>
      <c r="E363" s="43" t="s">
        <v>9</v>
      </c>
      <c r="F363" s="50"/>
      <c r="G363" s="50">
        <f>I287*ÍndiceCorreçãoNC!$C$8</f>
        <v>0</v>
      </c>
      <c r="H363" s="50">
        <f t="shared" si="15"/>
        <v>0</v>
      </c>
      <c r="I363" s="50">
        <f t="shared" si="16"/>
        <v>185282.99335999999</v>
      </c>
      <c r="J363" s="106" t="str">
        <f t="shared" si="17"/>
        <v/>
      </c>
      <c r="K363" s="105"/>
    </row>
    <row r="364" spans="2:11" ht="12.95" customHeight="1" x14ac:dyDescent="0.25">
      <c r="B364" s="45" t="str">
        <f>VLOOKUP(C364,SintéticoNC!$F$4:$G$83,2,FALSE)</f>
        <v>Bancada do Pará</v>
      </c>
      <c r="C364" s="42" t="s">
        <v>172</v>
      </c>
      <c r="D364" s="23" t="s">
        <v>216</v>
      </c>
      <c r="E364" s="43" t="s">
        <v>9</v>
      </c>
      <c r="F364" s="50"/>
      <c r="G364" s="50">
        <f>I288*ÍndiceCorreçãoNC!$C$8</f>
        <v>0</v>
      </c>
      <c r="H364" s="50">
        <f t="shared" si="15"/>
        <v>0</v>
      </c>
      <c r="I364" s="50">
        <f t="shared" si="16"/>
        <v>314598.4390518</v>
      </c>
      <c r="J364" s="106" t="str">
        <f t="shared" si="17"/>
        <v/>
      </c>
      <c r="K364" s="105"/>
    </row>
    <row r="365" spans="2:11" ht="12.95" customHeight="1" x14ac:dyDescent="0.25">
      <c r="B365" s="45" t="str">
        <f>VLOOKUP(C365,SintéticoNC!$F$4:$G$83,2,FALSE)</f>
        <v>Coronel Chrisóstomo</v>
      </c>
      <c r="C365" s="42" t="s">
        <v>174</v>
      </c>
      <c r="D365" s="23" t="s">
        <v>216</v>
      </c>
      <c r="E365" s="43" t="s">
        <v>9</v>
      </c>
      <c r="F365" s="50"/>
      <c r="G365" s="50">
        <f>I289*ÍndiceCorreçãoNC!$C$8</f>
        <v>0</v>
      </c>
      <c r="H365" s="50">
        <f t="shared" si="15"/>
        <v>0</v>
      </c>
      <c r="I365" s="50">
        <f t="shared" si="16"/>
        <v>61928.826585000003</v>
      </c>
      <c r="J365" s="106" t="str">
        <f t="shared" si="17"/>
        <v/>
      </c>
      <c r="K365" s="105"/>
    </row>
    <row r="366" spans="2:11" ht="12.95" customHeight="1" x14ac:dyDescent="0.25">
      <c r="B366" s="45" t="str">
        <f>VLOOKUP(C366,SintéticoNC!$F$4:$G$83,2,FALSE)</f>
        <v>Dimas Fabiano</v>
      </c>
      <c r="C366" s="42" t="s">
        <v>176</v>
      </c>
      <c r="D366" s="23" t="s">
        <v>216</v>
      </c>
      <c r="E366" s="43" t="s">
        <v>9</v>
      </c>
      <c r="F366" s="50"/>
      <c r="G366" s="50">
        <f>I290*ÍndiceCorreçãoNC!$C$8</f>
        <v>0</v>
      </c>
      <c r="H366" s="50">
        <f t="shared" si="15"/>
        <v>0</v>
      </c>
      <c r="I366" s="50">
        <f t="shared" si="16"/>
        <v>93648.469469999996</v>
      </c>
      <c r="J366" s="106" t="str">
        <f t="shared" si="17"/>
        <v/>
      </c>
      <c r="K366" s="105"/>
    </row>
    <row r="367" spans="2:11" ht="12.95" customHeight="1" x14ac:dyDescent="0.25">
      <c r="B367" s="45" t="str">
        <f>VLOOKUP(C367,SintéticoNC!$F$4:$G$83,2,FALSE)</f>
        <v>Edna Henrique</v>
      </c>
      <c r="C367" s="42" t="s">
        <v>178</v>
      </c>
      <c r="D367" s="23" t="s">
        <v>216</v>
      </c>
      <c r="E367" s="43" t="s">
        <v>9</v>
      </c>
      <c r="F367" s="50"/>
      <c r="G367" s="50">
        <f>I291*ÍndiceCorreçãoNC!$C$8</f>
        <v>0</v>
      </c>
      <c r="H367" s="50">
        <f t="shared" si="15"/>
        <v>0</v>
      </c>
      <c r="I367" s="50">
        <f t="shared" si="16"/>
        <v>92641.496679999997</v>
      </c>
      <c r="J367" s="106" t="str">
        <f t="shared" si="17"/>
        <v/>
      </c>
      <c r="K367" s="105"/>
    </row>
    <row r="368" spans="2:11" ht="12.95" customHeight="1" x14ac:dyDescent="0.25">
      <c r="B368" s="45" t="str">
        <f>VLOOKUP(C368,SintéticoNC!$F$4:$G$83,2,FALSE)</f>
        <v>Fabio Reis</v>
      </c>
      <c r="C368" s="42" t="s">
        <v>180</v>
      </c>
      <c r="D368" s="23" t="s">
        <v>216</v>
      </c>
      <c r="E368" s="43" t="s">
        <v>9</v>
      </c>
      <c r="F368" s="50"/>
      <c r="G368" s="50">
        <f>I292*ÍndiceCorreçãoNC!$C$8</f>
        <v>0</v>
      </c>
      <c r="H368" s="50">
        <f t="shared" si="15"/>
        <v>0</v>
      </c>
      <c r="I368" s="50">
        <f t="shared" si="16"/>
        <v>42172.020445200003</v>
      </c>
      <c r="J368" s="106" t="str">
        <f t="shared" si="17"/>
        <v/>
      </c>
      <c r="K368" s="105"/>
    </row>
    <row r="369" spans="2:11" ht="12.95" customHeight="1" x14ac:dyDescent="0.25">
      <c r="B369" s="45" t="str">
        <f>VLOOKUP(C369,SintéticoNC!$F$4:$G$83,2,FALSE)</f>
        <v>Flavia Arruda</v>
      </c>
      <c r="C369" s="42" t="s">
        <v>182</v>
      </c>
      <c r="D369" s="23" t="s">
        <v>216</v>
      </c>
      <c r="E369" s="43" t="s">
        <v>9</v>
      </c>
      <c r="F369" s="50"/>
      <c r="G369" s="50">
        <f>I293*ÍndiceCorreçãoNC!$C$8</f>
        <v>0</v>
      </c>
      <c r="H369" s="50">
        <f t="shared" si="15"/>
        <v>0</v>
      </c>
      <c r="I369" s="50">
        <f t="shared" si="16"/>
        <v>371113.77991776</v>
      </c>
      <c r="J369" s="106" t="str">
        <f t="shared" si="17"/>
        <v/>
      </c>
      <c r="K369" s="105"/>
    </row>
    <row r="370" spans="2:11" ht="12.95" customHeight="1" x14ac:dyDescent="0.25">
      <c r="B370" s="45" t="str">
        <f>VLOOKUP(C370,SintéticoNC!$F$4:$G$83,2,FALSE)</f>
        <v>General Girão</v>
      </c>
      <c r="C370" s="42" t="s">
        <v>184</v>
      </c>
      <c r="D370" s="23" t="s">
        <v>216</v>
      </c>
      <c r="E370" s="43" t="s">
        <v>9</v>
      </c>
      <c r="F370" s="50"/>
      <c r="G370" s="50">
        <f>I294*ÍndiceCorreçãoNC!$C$8</f>
        <v>0</v>
      </c>
      <c r="H370" s="50">
        <f t="shared" si="15"/>
        <v>0</v>
      </c>
      <c r="I370" s="50">
        <f t="shared" si="16"/>
        <v>93648.469469999996</v>
      </c>
      <c r="J370" s="106" t="str">
        <f t="shared" si="17"/>
        <v/>
      </c>
      <c r="K370" s="105"/>
    </row>
    <row r="371" spans="2:11" ht="12.95" customHeight="1" x14ac:dyDescent="0.25">
      <c r="B371" s="45" t="str">
        <f>VLOOKUP(C371,SintéticoNC!$F$4:$G$83,2,FALSE)</f>
        <v>José Nunes</v>
      </c>
      <c r="C371" s="42" t="s">
        <v>186</v>
      </c>
      <c r="D371" s="23" t="s">
        <v>216</v>
      </c>
      <c r="E371" s="43" t="s">
        <v>9</v>
      </c>
      <c r="F371" s="50"/>
      <c r="G371" s="50">
        <f>I295*ÍndiceCorreçãoNC!$C$8</f>
        <v>0</v>
      </c>
      <c r="H371" s="50">
        <f t="shared" si="15"/>
        <v>0</v>
      </c>
      <c r="I371" s="50">
        <f t="shared" si="16"/>
        <v>93648.469469999996</v>
      </c>
      <c r="J371" s="106" t="str">
        <f t="shared" si="17"/>
        <v/>
      </c>
      <c r="K371" s="105"/>
    </row>
    <row r="372" spans="2:11" ht="12.95" customHeight="1" x14ac:dyDescent="0.25">
      <c r="B372" s="45" t="str">
        <f>VLOOKUP(C372,SintéticoNC!$F$4:$G$83,2,FALSE)</f>
        <v>Josivaldo JP</v>
      </c>
      <c r="C372" s="42" t="s">
        <v>188</v>
      </c>
      <c r="D372" s="23" t="s">
        <v>216</v>
      </c>
      <c r="E372" s="43" t="s">
        <v>9</v>
      </c>
      <c r="F372" s="50"/>
      <c r="G372" s="50">
        <f>I296*ÍndiceCorreçãoNC!$C$8</f>
        <v>0</v>
      </c>
      <c r="H372" s="50">
        <f t="shared" si="15"/>
        <v>0</v>
      </c>
      <c r="I372" s="50">
        <f t="shared" si="16"/>
        <v>48334.693919999998</v>
      </c>
      <c r="J372" s="106" t="str">
        <f t="shared" si="17"/>
        <v/>
      </c>
      <c r="K372" s="105"/>
    </row>
    <row r="373" spans="2:11" ht="12.95" customHeight="1" x14ac:dyDescent="0.25">
      <c r="B373" s="45" t="str">
        <f>VLOOKUP(C373,SintéticoNC!$F$4:$G$83,2,FALSE)</f>
        <v>Junior Lourenço</v>
      </c>
      <c r="C373" s="42" t="s">
        <v>190</v>
      </c>
      <c r="D373" s="23" t="s">
        <v>216</v>
      </c>
      <c r="E373" s="43" t="s">
        <v>9</v>
      </c>
      <c r="F373" s="50"/>
      <c r="G373" s="50">
        <f>I297*ÍndiceCorreçãoNC!$C$8</f>
        <v>0</v>
      </c>
      <c r="H373" s="50">
        <f t="shared" si="15"/>
        <v>0</v>
      </c>
      <c r="I373" s="50">
        <f t="shared" si="16"/>
        <v>156080.78245</v>
      </c>
      <c r="J373" s="106" t="str">
        <f t="shared" si="17"/>
        <v/>
      </c>
      <c r="K373" s="105"/>
    </row>
    <row r="374" spans="2:11" ht="12.95" customHeight="1" x14ac:dyDescent="0.25">
      <c r="B374" s="45" t="str">
        <f>VLOOKUP(C374,SintéticoNC!$F$4:$G$83,2,FALSE)</f>
        <v>Leo de Brito</v>
      </c>
      <c r="C374" s="42" t="s">
        <v>192</v>
      </c>
      <c r="D374" s="23" t="s">
        <v>216</v>
      </c>
      <c r="E374" s="43" t="s">
        <v>9</v>
      </c>
      <c r="F374" s="50"/>
      <c r="G374" s="50">
        <f>I298*ÍndiceCorreçãoNC!$C$8</f>
        <v>0</v>
      </c>
      <c r="H374" s="50">
        <f t="shared" si="15"/>
        <v>0</v>
      </c>
      <c r="I374" s="50">
        <f t="shared" si="16"/>
        <v>171185.3743</v>
      </c>
      <c r="J374" s="106" t="str">
        <f t="shared" si="17"/>
        <v/>
      </c>
      <c r="K374" s="105"/>
    </row>
    <row r="375" spans="2:11" ht="12.95" customHeight="1" x14ac:dyDescent="0.25">
      <c r="B375" s="45" t="str">
        <f>VLOOKUP(C375,SintéticoNC!$F$4:$G$83,2,FALSE)</f>
        <v>Luciano Bivar</v>
      </c>
      <c r="C375" s="42" t="s">
        <v>194</v>
      </c>
      <c r="D375" s="23" t="s">
        <v>216</v>
      </c>
      <c r="E375" s="43" t="s">
        <v>9</v>
      </c>
      <c r="F375" s="50"/>
      <c r="G375" s="50">
        <f>I299*ÍndiceCorreçãoNC!$C$8</f>
        <v>0</v>
      </c>
      <c r="H375" s="50">
        <f t="shared" si="15"/>
        <v>0</v>
      </c>
      <c r="I375" s="50">
        <f t="shared" si="16"/>
        <v>93648.469469999996</v>
      </c>
      <c r="J375" s="106" t="str">
        <f t="shared" si="17"/>
        <v/>
      </c>
      <c r="K375" s="105"/>
    </row>
    <row r="376" spans="2:11" ht="12.95" customHeight="1" x14ac:dyDescent="0.25">
      <c r="B376" s="45" t="str">
        <f>VLOOKUP(C376,SintéticoNC!$F$4:$G$83,2,FALSE)</f>
        <v>Luis Tibé</v>
      </c>
      <c r="C376" s="42" t="s">
        <v>196</v>
      </c>
      <c r="D376" s="23" t="s">
        <v>216</v>
      </c>
      <c r="E376" s="43" t="s">
        <v>9</v>
      </c>
      <c r="F376" s="50"/>
      <c r="G376" s="50">
        <f>I300*ÍndiceCorreçãoNC!$C$8</f>
        <v>0</v>
      </c>
      <c r="H376" s="50">
        <f t="shared" si="15"/>
        <v>0</v>
      </c>
      <c r="I376" s="50">
        <f t="shared" si="16"/>
        <v>93648.469469999996</v>
      </c>
      <c r="J376" s="106" t="str">
        <f t="shared" si="17"/>
        <v/>
      </c>
      <c r="K376" s="105"/>
    </row>
    <row r="377" spans="2:11" ht="12.95" customHeight="1" x14ac:dyDescent="0.25">
      <c r="B377" s="45" t="str">
        <f>VLOOKUP(C377,SintéticoNC!$F$4:$G$83,2,FALSE)</f>
        <v>Mara Rocha</v>
      </c>
      <c r="C377" s="42" t="s">
        <v>198</v>
      </c>
      <c r="D377" s="23" t="s">
        <v>216</v>
      </c>
      <c r="E377" s="43" t="s">
        <v>9</v>
      </c>
      <c r="F377" s="50"/>
      <c r="G377" s="50">
        <f>I301*ÍndiceCorreçãoNC!$C$8</f>
        <v>0</v>
      </c>
      <c r="H377" s="50">
        <f t="shared" si="15"/>
        <v>0</v>
      </c>
      <c r="I377" s="50">
        <f t="shared" si="16"/>
        <v>171185.3743</v>
      </c>
      <c r="J377" s="106" t="str">
        <f t="shared" si="17"/>
        <v/>
      </c>
      <c r="K377" s="105"/>
    </row>
    <row r="378" spans="2:11" ht="12.95" customHeight="1" x14ac:dyDescent="0.25">
      <c r="B378" s="45" t="str">
        <f>VLOOKUP(C378,SintéticoNC!$F$4:$G$83,2,FALSE)</f>
        <v>Marx Beltrão</v>
      </c>
      <c r="C378" s="42" t="s">
        <v>200</v>
      </c>
      <c r="D378" s="23" t="s">
        <v>216</v>
      </c>
      <c r="E378" s="43" t="s">
        <v>9</v>
      </c>
      <c r="F378" s="50"/>
      <c r="G378" s="50">
        <f>I302*ÍndiceCorreçãoNC!$C$8</f>
        <v>0</v>
      </c>
      <c r="H378" s="50">
        <f t="shared" si="15"/>
        <v>0</v>
      </c>
      <c r="I378" s="50">
        <f t="shared" si="16"/>
        <v>93648.469469999996</v>
      </c>
      <c r="J378" s="106" t="str">
        <f t="shared" si="17"/>
        <v/>
      </c>
      <c r="K378" s="105"/>
    </row>
    <row r="379" spans="2:11" ht="12.95" customHeight="1" x14ac:dyDescent="0.25">
      <c r="B379" s="45" t="str">
        <f>VLOOKUP(C379,SintéticoNC!$F$4:$G$83,2,FALSE)</f>
        <v>Perpétua Almeida</v>
      </c>
      <c r="C379" s="42" t="s">
        <v>202</v>
      </c>
      <c r="D379" s="23" t="s">
        <v>216</v>
      </c>
      <c r="E379" s="43" t="s">
        <v>9</v>
      </c>
      <c r="F379" s="50"/>
      <c r="G379" s="50">
        <f>I303*ÍndiceCorreçãoNC!$C$8</f>
        <v>0</v>
      </c>
      <c r="H379" s="50">
        <f t="shared" si="15"/>
        <v>0</v>
      </c>
      <c r="I379" s="50">
        <f t="shared" si="16"/>
        <v>194341.72057884</v>
      </c>
      <c r="J379" s="106" t="str">
        <f t="shared" si="17"/>
        <v/>
      </c>
      <c r="K379" s="105"/>
    </row>
    <row r="380" spans="2:11" ht="12.95" customHeight="1" x14ac:dyDescent="0.25">
      <c r="B380" s="45" t="str">
        <f>VLOOKUP(C380,SintéticoNC!$F$4:$G$83,2,FALSE)</f>
        <v>Sérgio Petecão</v>
      </c>
      <c r="C380" s="42" t="s">
        <v>204</v>
      </c>
      <c r="D380" s="23" t="s">
        <v>216</v>
      </c>
      <c r="E380" s="43" t="s">
        <v>9</v>
      </c>
      <c r="F380" s="50"/>
      <c r="G380" s="50">
        <f>I304*ÍndiceCorreçãoNC!$C$8</f>
        <v>0</v>
      </c>
      <c r="H380" s="50">
        <f t="shared" si="15"/>
        <v>0</v>
      </c>
      <c r="I380" s="50">
        <f t="shared" si="16"/>
        <v>133538.68957305999</v>
      </c>
      <c r="J380" s="106" t="str">
        <f t="shared" si="17"/>
        <v/>
      </c>
      <c r="K380" s="105"/>
    </row>
    <row r="381" spans="2:11" ht="12.95" customHeight="1" x14ac:dyDescent="0.25">
      <c r="B381" s="45" t="str">
        <f>VLOOKUP(C381,SintéticoNC!$F$4:$G$83,2,FALSE)</f>
        <v>Uldurico Junior</v>
      </c>
      <c r="C381" s="42" t="s">
        <v>206</v>
      </c>
      <c r="D381" s="23" t="s">
        <v>216</v>
      </c>
      <c r="E381" s="43" t="s">
        <v>9</v>
      </c>
      <c r="F381" s="50"/>
      <c r="G381" s="50">
        <f>I305*ÍndiceCorreçãoNC!$C$8</f>
        <v>0</v>
      </c>
      <c r="H381" s="50">
        <f t="shared" si="15"/>
        <v>0</v>
      </c>
      <c r="I381" s="50">
        <f t="shared" si="16"/>
        <v>141983.16339</v>
      </c>
      <c r="J381" s="106" t="str">
        <f t="shared" si="17"/>
        <v/>
      </c>
      <c r="K381" s="105"/>
    </row>
    <row r="382" spans="2:11" ht="12.95" customHeight="1" x14ac:dyDescent="0.25">
      <c r="B382" s="45" t="str">
        <f>VLOOKUP(C382,SintéticoNC!$F$4:$G$83,2,FALSE)</f>
        <v>Soraya Thronicke</v>
      </c>
      <c r="C382" s="42" t="s">
        <v>208</v>
      </c>
      <c r="D382" s="23" t="s">
        <v>216</v>
      </c>
      <c r="E382" s="43" t="s">
        <v>9</v>
      </c>
      <c r="F382" s="50"/>
      <c r="G382" s="50">
        <f>I306*ÍndiceCorreçãoNC!$C$8</f>
        <v>0</v>
      </c>
      <c r="H382" s="50">
        <f t="shared" si="15"/>
        <v>0</v>
      </c>
      <c r="I382" s="50">
        <f t="shared" si="16"/>
        <v>156080.78245</v>
      </c>
      <c r="J382" s="106" t="str">
        <f t="shared" si="17"/>
        <v/>
      </c>
      <c r="K382" s="105"/>
    </row>
    <row r="383" spans="2:11" ht="12.95" customHeight="1" x14ac:dyDescent="0.25">
      <c r="B383" s="45" t="str">
        <f>VLOOKUP(C383,SintéticoNC!$F$4:$G$83,2,FALSE)</f>
        <v>MCom</v>
      </c>
      <c r="C383" s="42" t="s">
        <v>211</v>
      </c>
      <c r="D383" s="23" t="s">
        <v>216</v>
      </c>
      <c r="E383" s="43" t="s">
        <v>9</v>
      </c>
      <c r="F383" s="50"/>
      <c r="G383" s="50">
        <f>I307*ÍndiceCorreçãoNC!$C$8</f>
        <v>0</v>
      </c>
      <c r="H383" s="50">
        <f t="shared" si="15"/>
        <v>0</v>
      </c>
      <c r="I383" s="50">
        <f t="shared" si="16"/>
        <v>503486.39500000002</v>
      </c>
      <c r="J383" s="106" t="str">
        <f t="shared" si="17"/>
        <v/>
      </c>
      <c r="K383" s="105"/>
    </row>
    <row r="384" spans="2:11" ht="12.95" customHeight="1" x14ac:dyDescent="0.25">
      <c r="B384" s="45" t="str">
        <f>VLOOKUP(C384,SintéticoNC!$F$4:$G$83,2,FALSE)</f>
        <v>Cabo Junio Amaral</v>
      </c>
      <c r="C384" s="42" t="s">
        <v>213</v>
      </c>
      <c r="D384" s="23" t="s">
        <v>216</v>
      </c>
      <c r="E384" s="43" t="s">
        <v>9</v>
      </c>
      <c r="F384" s="50"/>
      <c r="G384" s="50">
        <f>I308*ÍndiceCorreçãoNC!$C$8</f>
        <v>0</v>
      </c>
      <c r="H384" s="50">
        <f t="shared" si="15"/>
        <v>0</v>
      </c>
      <c r="I384" s="50">
        <f t="shared" si="16"/>
        <v>93648.469469999996</v>
      </c>
      <c r="J384" s="106" t="str">
        <f t="shared" si="17"/>
        <v/>
      </c>
      <c r="K384" s="105"/>
    </row>
    <row r="385" spans="2:11" ht="12.95" customHeight="1" x14ac:dyDescent="0.25">
      <c r="B385" s="45" t="str">
        <f>VLOOKUP(C385,SintéticoNC!$F$4:$G$83,2,FALSE)</f>
        <v>Leur Lomanto</v>
      </c>
      <c r="C385" s="42" t="s">
        <v>215</v>
      </c>
      <c r="D385" s="23" t="s">
        <v>216</v>
      </c>
      <c r="E385" s="43" t="s">
        <v>9</v>
      </c>
      <c r="F385" s="50"/>
      <c r="G385" s="50">
        <f>I309*ÍndiceCorreçãoNC!$C$8</f>
        <v>0</v>
      </c>
      <c r="H385" s="50">
        <f t="shared" si="15"/>
        <v>0</v>
      </c>
      <c r="I385" s="50">
        <f t="shared" si="16"/>
        <v>28195.238120000002</v>
      </c>
      <c r="J385" s="106" t="str">
        <f t="shared" si="17"/>
        <v/>
      </c>
      <c r="K385" s="105"/>
    </row>
    <row r="386" spans="2:11" ht="12.95" customHeight="1" x14ac:dyDescent="0.25">
      <c r="B386" s="45" t="str">
        <f>VLOOKUP(C386,SintéticoNC!$F$4:$G$83,2,FALSE)</f>
        <v>Bancada de Alagoas</v>
      </c>
      <c r="C386" s="42" t="s">
        <v>141</v>
      </c>
      <c r="D386" s="23" t="s">
        <v>153</v>
      </c>
      <c r="E386" s="43" t="s">
        <v>10</v>
      </c>
      <c r="F386" s="50"/>
      <c r="G386" s="50">
        <f>I310*ÍndiceCorreçãoNC!$C$9</f>
        <v>0</v>
      </c>
      <c r="H386" s="50">
        <f t="shared" si="15"/>
        <v>0</v>
      </c>
      <c r="I386" s="50">
        <f t="shared" si="16"/>
        <v>1814033.9908278328</v>
      </c>
      <c r="J386" s="106" t="str">
        <f t="shared" si="17"/>
        <v/>
      </c>
      <c r="K386" s="105"/>
    </row>
    <row r="387" spans="2:11" ht="12.95" customHeight="1" x14ac:dyDescent="0.25">
      <c r="B387" s="45" t="str">
        <f>VLOOKUP(C387,SintéticoNC!$F$4:$G$83,2,FALSE)</f>
        <v>Bancada de Alagoas</v>
      </c>
      <c r="C387" s="42" t="s">
        <v>142</v>
      </c>
      <c r="D387" s="23" t="s">
        <v>153</v>
      </c>
      <c r="E387" s="43" t="s">
        <v>10</v>
      </c>
      <c r="F387" s="50"/>
      <c r="G387" s="50">
        <f>I311*ÍndiceCorreçãoNC!$C$9</f>
        <v>0</v>
      </c>
      <c r="H387" s="50">
        <f t="shared" si="15"/>
        <v>0</v>
      </c>
      <c r="I387" s="50">
        <f t="shared" si="16"/>
        <v>528056.53107599996</v>
      </c>
      <c r="J387" s="106" t="str">
        <f t="shared" si="17"/>
        <v/>
      </c>
      <c r="K387" s="105"/>
    </row>
    <row r="388" spans="2:11" ht="12.95" customHeight="1" x14ac:dyDescent="0.25">
      <c r="B388" s="45" t="str">
        <f>VLOOKUP(C388,SintéticoNC!$F$4:$G$83,2,FALSE)</f>
        <v>Bancada de Alagoas</v>
      </c>
      <c r="C388" s="42" t="s">
        <v>143</v>
      </c>
      <c r="D388" s="23" t="s">
        <v>153</v>
      </c>
      <c r="E388" s="43" t="s">
        <v>10</v>
      </c>
      <c r="F388" s="50"/>
      <c r="G388" s="50">
        <f>I312*ÍndiceCorreçãoNC!$C$9</f>
        <v>0</v>
      </c>
      <c r="H388" s="50">
        <f t="shared" si="15"/>
        <v>0</v>
      </c>
      <c r="I388" s="50">
        <f t="shared" si="16"/>
        <v>5262250.4896554798</v>
      </c>
      <c r="J388" s="106" t="str">
        <f t="shared" si="17"/>
        <v/>
      </c>
      <c r="K388" s="105"/>
    </row>
    <row r="389" spans="2:11" ht="12.95" customHeight="1" x14ac:dyDescent="0.25">
      <c r="B389" s="45" t="str">
        <f>VLOOKUP(C389,SintéticoNC!$F$4:$G$83,2,FALSE)</f>
        <v>Bancada de Minas Gerais</v>
      </c>
      <c r="C389" s="42" t="s">
        <v>144</v>
      </c>
      <c r="D389" s="23" t="s">
        <v>153</v>
      </c>
      <c r="E389" s="43" t="s">
        <v>10</v>
      </c>
      <c r="F389" s="50"/>
      <c r="G389" s="50">
        <f>I313*ÍndiceCorreçãoNC!$C$9</f>
        <v>0</v>
      </c>
      <c r="H389" s="50">
        <f t="shared" si="15"/>
        <v>0</v>
      </c>
      <c r="I389" s="50">
        <f t="shared" si="16"/>
        <v>13370850.949225677</v>
      </c>
      <c r="J389" s="106" t="str">
        <f t="shared" si="17"/>
        <v/>
      </c>
      <c r="K389" s="105"/>
    </row>
    <row r="390" spans="2:11" ht="12.95" customHeight="1" x14ac:dyDescent="0.25">
      <c r="B390" s="45" t="str">
        <f>VLOOKUP(C390,SintéticoNC!$F$4:$G$83,2,FALSE)</f>
        <v>Bancada de São Paulo</v>
      </c>
      <c r="C390" s="42" t="s">
        <v>145</v>
      </c>
      <c r="D390" s="23" t="s">
        <v>153</v>
      </c>
      <c r="E390" s="43" t="s">
        <v>10</v>
      </c>
      <c r="F390" s="50"/>
      <c r="G390" s="50">
        <f>I314*ÍndiceCorreçãoNC!$C$9</f>
        <v>0</v>
      </c>
      <c r="H390" s="50">
        <f t="shared" si="15"/>
        <v>0</v>
      </c>
      <c r="I390" s="50">
        <f t="shared" si="16"/>
        <v>1555533.3010259799</v>
      </c>
      <c r="J390" s="106" t="str">
        <f t="shared" si="17"/>
        <v/>
      </c>
      <c r="K390" s="105"/>
    </row>
    <row r="391" spans="2:11" ht="12.95" customHeight="1" x14ac:dyDescent="0.25">
      <c r="B391" s="45" t="str">
        <f>VLOOKUP(C391,SintéticoNC!$F$4:$G$83,2,FALSE)</f>
        <v>Bancada do Espírito Santo</v>
      </c>
      <c r="C391" s="42" t="s">
        <v>146</v>
      </c>
      <c r="D391" s="23" t="s">
        <v>153</v>
      </c>
      <c r="E391" s="43" t="s">
        <v>10</v>
      </c>
      <c r="F391" s="50"/>
      <c r="G391" s="50">
        <f>I315*ÍndiceCorreçãoNC!$C$9</f>
        <v>0</v>
      </c>
      <c r="H391" s="50">
        <f t="shared" si="15"/>
        <v>0</v>
      </c>
      <c r="I391" s="50">
        <f t="shared" si="16"/>
        <v>1420853.1473770875</v>
      </c>
      <c r="J391" s="106" t="str">
        <f t="shared" si="17"/>
        <v/>
      </c>
      <c r="K391" s="105"/>
    </row>
    <row r="392" spans="2:11" ht="12.95" customHeight="1" x14ac:dyDescent="0.25">
      <c r="B392" s="45" t="str">
        <f>VLOOKUP(C392,SintéticoNC!$F$4:$G$83,2,FALSE)</f>
        <v>Bancada do Espírito Santo</v>
      </c>
      <c r="C392" s="42" t="s">
        <v>147</v>
      </c>
      <c r="D392" s="23" t="s">
        <v>153</v>
      </c>
      <c r="E392" s="43" t="s">
        <v>10</v>
      </c>
      <c r="F392" s="50"/>
      <c r="G392" s="50">
        <f>I316*ÍndiceCorreçãoNC!$C$9</f>
        <v>0</v>
      </c>
      <c r="H392" s="50">
        <f t="shared" si="15"/>
        <v>0</v>
      </c>
      <c r="I392" s="50">
        <f t="shared" si="16"/>
        <v>2260653.9135500002</v>
      </c>
      <c r="J392" s="106" t="str">
        <f t="shared" si="17"/>
        <v/>
      </c>
      <c r="K392" s="105"/>
    </row>
    <row r="393" spans="2:11" ht="12.95" customHeight="1" x14ac:dyDescent="0.25">
      <c r="B393" s="45" t="str">
        <f>VLOOKUP(C393,SintéticoNC!$F$4:$G$83,2,FALSE)</f>
        <v>Bancada do Espírito Santo</v>
      </c>
      <c r="C393" s="42" t="s">
        <v>148</v>
      </c>
      <c r="D393" s="23" t="s">
        <v>153</v>
      </c>
      <c r="E393" s="43" t="s">
        <v>10</v>
      </c>
      <c r="F393" s="50"/>
      <c r="G393" s="50">
        <f>I317*ÍndiceCorreçãoNC!$C$9</f>
        <v>0</v>
      </c>
      <c r="H393" s="50">
        <f t="shared" si="15"/>
        <v>0</v>
      </c>
      <c r="I393" s="50">
        <f t="shared" si="16"/>
        <v>2771189.1180799999</v>
      </c>
      <c r="J393" s="106" t="str">
        <f t="shared" si="17"/>
        <v/>
      </c>
      <c r="K393" s="105"/>
    </row>
    <row r="394" spans="2:11" ht="12.95" customHeight="1" x14ac:dyDescent="0.25">
      <c r="B394" s="45" t="str">
        <f>VLOOKUP(C394,SintéticoNC!$F$4:$G$83,2,FALSE)</f>
        <v>Bancada do Maranhão</v>
      </c>
      <c r="C394" s="42" t="s">
        <v>149</v>
      </c>
      <c r="D394" s="23" t="s">
        <v>153</v>
      </c>
      <c r="E394" s="43" t="s">
        <v>10</v>
      </c>
      <c r="F394" s="50"/>
      <c r="G394" s="50">
        <f>I318*ÍndiceCorreçãoNC!$C$9</f>
        <v>0</v>
      </c>
      <c r="H394" s="50">
        <f t="shared" si="15"/>
        <v>0</v>
      </c>
      <c r="I394" s="50">
        <f t="shared" si="16"/>
        <v>755229.59250000003</v>
      </c>
      <c r="J394" s="106" t="str">
        <f t="shared" si="17"/>
        <v/>
      </c>
      <c r="K394" s="105"/>
    </row>
    <row r="395" spans="2:11" ht="12.95" customHeight="1" x14ac:dyDescent="0.25">
      <c r="B395" s="45" t="str">
        <f>VLOOKUP(C395,SintéticoNC!$F$4:$G$83,2,FALSE)</f>
        <v>Bancada do Pará</v>
      </c>
      <c r="C395" s="42" t="s">
        <v>152</v>
      </c>
      <c r="D395" s="23" t="s">
        <v>153</v>
      </c>
      <c r="E395" s="43" t="s">
        <v>10</v>
      </c>
      <c r="F395" s="50"/>
      <c r="G395" s="50">
        <f>I319*ÍndiceCorreçãoNC!$C$9</f>
        <v>0</v>
      </c>
      <c r="H395" s="50">
        <f t="shared" si="15"/>
        <v>0</v>
      </c>
      <c r="I395" s="50">
        <f t="shared" si="16"/>
        <v>493416.66710000002</v>
      </c>
      <c r="J395" s="106" t="str">
        <f t="shared" si="17"/>
        <v/>
      </c>
      <c r="K395" s="105"/>
    </row>
    <row r="396" spans="2:11" ht="12.95" customHeight="1" x14ac:dyDescent="0.25">
      <c r="B396" s="45" t="str">
        <f>VLOOKUP(C396,SintéticoNC!$F$4:$G$83,2,FALSE)</f>
        <v>Bancada do Pará</v>
      </c>
      <c r="C396" s="42" t="s">
        <v>151</v>
      </c>
      <c r="D396" s="23" t="s">
        <v>153</v>
      </c>
      <c r="E396" s="43" t="s">
        <v>10</v>
      </c>
      <c r="F396" s="50"/>
      <c r="G396" s="50">
        <f>I320*ÍndiceCorreçãoNC!$C$9</f>
        <v>0</v>
      </c>
      <c r="H396" s="50">
        <f t="shared" si="15"/>
        <v>0</v>
      </c>
      <c r="I396" s="50">
        <f t="shared" si="16"/>
        <v>837197.17760599998</v>
      </c>
      <c r="J396" s="106" t="str">
        <f t="shared" si="17"/>
        <v/>
      </c>
      <c r="K396" s="105"/>
    </row>
    <row r="397" spans="2:11" ht="12.95" customHeight="1" x14ac:dyDescent="0.25">
      <c r="B397" s="45" t="str">
        <f>VLOOKUP(C397,SintéticoNC!$F$4:$G$83,2,FALSE)</f>
        <v>Cabo Junio Amaral</v>
      </c>
      <c r="C397" s="42" t="s">
        <v>150</v>
      </c>
      <c r="D397" s="23" t="s">
        <v>153</v>
      </c>
      <c r="E397" s="43" t="s">
        <v>10</v>
      </c>
      <c r="F397" s="50"/>
      <c r="G397" s="50">
        <f>I321*ÍndiceCorreçãoNC!$C$9</f>
        <v>0</v>
      </c>
      <c r="H397" s="50">
        <f t="shared" si="15"/>
        <v>0</v>
      </c>
      <c r="I397" s="50">
        <f t="shared" si="16"/>
        <v>208443.36752999999</v>
      </c>
      <c r="J397" s="106" t="str">
        <f t="shared" si="17"/>
        <v/>
      </c>
      <c r="K397" s="105"/>
    </row>
    <row r="398" spans="2:11" ht="12.95" customHeight="1" x14ac:dyDescent="0.25">
      <c r="B398" s="45" t="str">
        <f>VLOOKUP(C398,SintéticoNC!$F$4:$G$83,2,FALSE)</f>
        <v>Celso Sabino</v>
      </c>
      <c r="C398" s="42" t="s">
        <v>44</v>
      </c>
      <c r="D398" s="23" t="s">
        <v>153</v>
      </c>
      <c r="E398" s="43" t="s">
        <v>10</v>
      </c>
      <c r="F398" s="50"/>
      <c r="G398" s="50">
        <f>I322*ÍndiceCorreçãoNC!$C$9</f>
        <v>0</v>
      </c>
      <c r="H398" s="50">
        <f t="shared" si="15"/>
        <v>0</v>
      </c>
      <c r="I398" s="50">
        <f t="shared" si="16"/>
        <v>97875.449220310911</v>
      </c>
      <c r="J398" s="106" t="str">
        <f t="shared" si="17"/>
        <v/>
      </c>
      <c r="K398" s="105"/>
    </row>
    <row r="399" spans="2:11" ht="12.95" customHeight="1" x14ac:dyDescent="0.25">
      <c r="B399" s="45" t="str">
        <f>VLOOKUP(C399,SintéticoNC!$F$4:$G$83,2,FALSE)</f>
        <v>Coronel Chrisóstomo</v>
      </c>
      <c r="C399" s="42" t="s">
        <v>47</v>
      </c>
      <c r="D399" s="23" t="s">
        <v>153</v>
      </c>
      <c r="E399" s="43" t="s">
        <v>10</v>
      </c>
      <c r="F399" s="50"/>
      <c r="G399" s="50">
        <f>I323*ÍndiceCorreçãoNC!$C$9</f>
        <v>0</v>
      </c>
      <c r="H399" s="50">
        <f t="shared" si="15"/>
        <v>0</v>
      </c>
      <c r="I399" s="50">
        <f t="shared" si="16"/>
        <v>139465.73141499999</v>
      </c>
      <c r="J399" s="106" t="str">
        <f t="shared" si="17"/>
        <v/>
      </c>
      <c r="K399" s="105"/>
    </row>
    <row r="400" spans="2:11" ht="12.95" customHeight="1" x14ac:dyDescent="0.25">
      <c r="B400" s="45" t="str">
        <f>VLOOKUP(C400,SintéticoNC!$F$4:$G$83,2,FALSE)</f>
        <v>Dimas Fabiano</v>
      </c>
      <c r="C400" s="42" t="s">
        <v>50</v>
      </c>
      <c r="D400" s="23" t="s">
        <v>153</v>
      </c>
      <c r="E400" s="43" t="s">
        <v>10</v>
      </c>
      <c r="F400" s="50"/>
      <c r="G400" s="50">
        <f>I324*ÍndiceCorreçãoNC!$C$9</f>
        <v>0</v>
      </c>
      <c r="H400" s="50">
        <f t="shared" si="15"/>
        <v>0</v>
      </c>
      <c r="I400" s="50">
        <f t="shared" si="16"/>
        <v>208443.36752999999</v>
      </c>
      <c r="J400" s="106" t="str">
        <f t="shared" si="17"/>
        <v/>
      </c>
      <c r="K400" s="105"/>
    </row>
    <row r="401" spans="2:11" ht="12.95" customHeight="1" x14ac:dyDescent="0.25">
      <c r="B401" s="45" t="str">
        <f>VLOOKUP(C401,SintéticoNC!$F$4:$G$83,2,FALSE)</f>
        <v>Edna Henrique</v>
      </c>
      <c r="C401" s="42" t="s">
        <v>53</v>
      </c>
      <c r="D401" s="23" t="s">
        <v>153</v>
      </c>
      <c r="E401" s="43" t="s">
        <v>10</v>
      </c>
      <c r="F401" s="50"/>
      <c r="G401" s="50">
        <f>I325*ÍndiceCorreçãoNC!$C$9</f>
        <v>0</v>
      </c>
      <c r="H401" s="50">
        <f t="shared" si="15"/>
        <v>0</v>
      </c>
      <c r="I401" s="50">
        <f t="shared" si="16"/>
        <v>209450.34031999999</v>
      </c>
      <c r="J401" s="106" t="str">
        <f t="shared" si="17"/>
        <v/>
      </c>
      <c r="K401" s="105"/>
    </row>
    <row r="402" spans="2:11" ht="12.95" customHeight="1" x14ac:dyDescent="0.25">
      <c r="B402" s="45" t="str">
        <f>VLOOKUP(C402,SintéticoNC!$F$4:$G$83,2,FALSE)</f>
        <v>Elias Vaz</v>
      </c>
      <c r="C402" s="42" t="s">
        <v>56</v>
      </c>
      <c r="D402" s="23" t="s">
        <v>153</v>
      </c>
      <c r="E402" s="43" t="s">
        <v>10</v>
      </c>
      <c r="F402" s="50"/>
      <c r="G402" s="50">
        <f>I326*ÍndiceCorreçãoNC!$C$9</f>
        <v>0</v>
      </c>
      <c r="H402" s="50">
        <f t="shared" ref="H402:H465" si="18">IF(I326+G402&gt;F402,F402,I326+G402)</f>
        <v>0</v>
      </c>
      <c r="I402" s="50">
        <f t="shared" ref="I402:I465" si="19">IF(F402&gt;I326+G402,"",I326+G402-F402)</f>
        <v>402789.11599999998</v>
      </c>
      <c r="J402" s="106" t="str">
        <f t="shared" ref="J402:J465" si="20">IF(I402="",F402-(I326+G402),"")</f>
        <v/>
      </c>
      <c r="K402" s="105"/>
    </row>
    <row r="403" spans="2:11" ht="12.95" customHeight="1" x14ac:dyDescent="0.25">
      <c r="B403" s="45" t="str">
        <f>VLOOKUP(C403,SintéticoNC!$F$4:$G$83,2,FALSE)</f>
        <v>Expedito Netto</v>
      </c>
      <c r="C403" s="42" t="s">
        <v>59</v>
      </c>
      <c r="D403" s="23" t="s">
        <v>153</v>
      </c>
      <c r="E403" s="43" t="s">
        <v>10</v>
      </c>
      <c r="F403" s="50"/>
      <c r="G403" s="50">
        <f>I327*ÍndiceCorreçãoNC!$C$9</f>
        <v>0</v>
      </c>
      <c r="H403" s="50">
        <f t="shared" si="18"/>
        <v>0</v>
      </c>
      <c r="I403" s="50">
        <f t="shared" si="19"/>
        <v>283300.95943927957</v>
      </c>
      <c r="J403" s="106" t="str">
        <f t="shared" si="20"/>
        <v/>
      </c>
      <c r="K403" s="105"/>
    </row>
    <row r="404" spans="2:11" ht="12.95" customHeight="1" x14ac:dyDescent="0.25">
      <c r="B404" s="45" t="str">
        <f>VLOOKUP(C404,SintéticoNC!$F$4:$G$83,2,FALSE)</f>
        <v>Fabio Reis</v>
      </c>
      <c r="C404" s="42" t="s">
        <v>62</v>
      </c>
      <c r="D404" s="23" t="s">
        <v>153</v>
      </c>
      <c r="E404" s="43" t="s">
        <v>10</v>
      </c>
      <c r="F404" s="50"/>
      <c r="G404" s="50">
        <f>I328*ÍndiceCorreçãoNC!$C$9</f>
        <v>0</v>
      </c>
      <c r="H404" s="50">
        <f t="shared" si="18"/>
        <v>0</v>
      </c>
      <c r="I404" s="50">
        <f t="shared" si="19"/>
        <v>82156.865781336295</v>
      </c>
      <c r="J404" s="106" t="str">
        <f t="shared" si="20"/>
        <v/>
      </c>
      <c r="K404" s="105"/>
    </row>
    <row r="405" spans="2:11" ht="12.95" customHeight="1" x14ac:dyDescent="0.25">
      <c r="B405" s="45" t="str">
        <f>VLOOKUP(C405,SintéticoNC!$F$4:$G$83,2,FALSE)</f>
        <v>Flavia Arruda</v>
      </c>
      <c r="C405" s="42" t="s">
        <v>65</v>
      </c>
      <c r="D405" s="23" t="s">
        <v>153</v>
      </c>
      <c r="E405" s="43" t="s">
        <v>10</v>
      </c>
      <c r="F405" s="50"/>
      <c r="G405" s="50">
        <f>I329*ÍndiceCorreçãoNC!$C$9</f>
        <v>0</v>
      </c>
      <c r="H405" s="50">
        <f t="shared" si="18"/>
        <v>0</v>
      </c>
      <c r="I405" s="50">
        <f t="shared" si="19"/>
        <v>887563.63045465504</v>
      </c>
      <c r="J405" s="106" t="str">
        <f t="shared" si="20"/>
        <v/>
      </c>
      <c r="K405" s="105"/>
    </row>
    <row r="406" spans="2:11" ht="12.95" customHeight="1" x14ac:dyDescent="0.25">
      <c r="B406" s="45" t="str">
        <f>VLOOKUP(C406,SintéticoNC!$F$4:$G$83,2,FALSE)</f>
        <v>Flaviano Melo</v>
      </c>
      <c r="C406" s="42" t="s">
        <v>68</v>
      </c>
      <c r="D406" s="23" t="s">
        <v>153</v>
      </c>
      <c r="E406" s="43" t="s">
        <v>10</v>
      </c>
      <c r="F406" s="50"/>
      <c r="G406" s="50">
        <f>I330*ÍndiceCorreçãoNC!$C$9</f>
        <v>0</v>
      </c>
      <c r="H406" s="50">
        <f t="shared" si="18"/>
        <v>0</v>
      </c>
      <c r="I406" s="50">
        <f t="shared" si="19"/>
        <v>506301.91106029582</v>
      </c>
      <c r="J406" s="106" t="str">
        <f t="shared" si="20"/>
        <v/>
      </c>
      <c r="K406" s="105"/>
    </row>
    <row r="407" spans="2:11" ht="12.95" customHeight="1" x14ac:dyDescent="0.25">
      <c r="B407" s="45" t="str">
        <f>VLOOKUP(C407,SintéticoNC!$F$4:$G$83,2,FALSE)</f>
        <v>General Girão</v>
      </c>
      <c r="C407" s="42" t="s">
        <v>71</v>
      </c>
      <c r="D407" s="23" t="s">
        <v>153</v>
      </c>
      <c r="E407" s="43" t="s">
        <v>10</v>
      </c>
      <c r="F407" s="50"/>
      <c r="G407" s="50">
        <f>I331*ÍndiceCorreçãoNC!$C$9</f>
        <v>0</v>
      </c>
      <c r="H407" s="50">
        <f t="shared" si="18"/>
        <v>0</v>
      </c>
      <c r="I407" s="50">
        <f t="shared" si="19"/>
        <v>208443.36752999999</v>
      </c>
      <c r="J407" s="106" t="str">
        <f t="shared" si="20"/>
        <v/>
      </c>
      <c r="K407" s="105"/>
    </row>
    <row r="408" spans="2:11" ht="12.95" customHeight="1" x14ac:dyDescent="0.25">
      <c r="B408" s="45" t="str">
        <f>VLOOKUP(C408,SintéticoNC!$F$4:$G$83,2,FALSE)</f>
        <v>João Roma</v>
      </c>
      <c r="C408" s="42" t="s">
        <v>74</v>
      </c>
      <c r="D408" s="23" t="s">
        <v>153</v>
      </c>
      <c r="E408" s="43" t="s">
        <v>10</v>
      </c>
      <c r="F408" s="50"/>
      <c r="G408" s="50">
        <f>I332*ÍndiceCorreçãoNC!$C$9</f>
        <v>0</v>
      </c>
      <c r="H408" s="50">
        <f t="shared" si="18"/>
        <v>0</v>
      </c>
      <c r="I408" s="50">
        <f t="shared" si="19"/>
        <v>72671.020983889903</v>
      </c>
      <c r="J408" s="106" t="str">
        <f t="shared" si="20"/>
        <v/>
      </c>
      <c r="K408" s="105"/>
    </row>
    <row r="409" spans="2:11" ht="12.95" customHeight="1" x14ac:dyDescent="0.25">
      <c r="B409" s="45" t="str">
        <f>VLOOKUP(C409,SintéticoNC!$F$4:$G$83,2,FALSE)</f>
        <v>Joenia Wapichana</v>
      </c>
      <c r="C409" s="42" t="s">
        <v>77</v>
      </c>
      <c r="D409" s="23" t="s">
        <v>153</v>
      </c>
      <c r="E409" s="43" t="s">
        <v>10</v>
      </c>
      <c r="F409" s="50"/>
      <c r="G409" s="50">
        <f>I333*ÍndiceCorreçãoNC!$C$9</f>
        <v>0</v>
      </c>
      <c r="H409" s="50">
        <f t="shared" si="18"/>
        <v>0</v>
      </c>
      <c r="I409" s="50">
        <f t="shared" si="19"/>
        <v>9161.8613719917994</v>
      </c>
      <c r="J409" s="106" t="str">
        <f t="shared" si="20"/>
        <v/>
      </c>
      <c r="K409" s="105"/>
    </row>
    <row r="410" spans="2:11" ht="12.95" customHeight="1" x14ac:dyDescent="0.25">
      <c r="B410" s="45" t="str">
        <f>VLOOKUP(C410,SintéticoNC!$F$4:$G$83,2,FALSE)</f>
        <v>José Nunes</v>
      </c>
      <c r="C410" s="42" t="s">
        <v>80</v>
      </c>
      <c r="D410" s="23" t="s">
        <v>153</v>
      </c>
      <c r="E410" s="43" t="s">
        <v>10</v>
      </c>
      <c r="F410" s="50"/>
      <c r="G410" s="50">
        <f>I334*ÍndiceCorreçãoNC!$C$9</f>
        <v>0</v>
      </c>
      <c r="H410" s="50">
        <f t="shared" si="18"/>
        <v>0</v>
      </c>
      <c r="I410" s="50">
        <f t="shared" si="19"/>
        <v>208443.36752999999</v>
      </c>
      <c r="J410" s="106" t="str">
        <f t="shared" si="20"/>
        <v/>
      </c>
      <c r="K410" s="105"/>
    </row>
    <row r="411" spans="2:11" ht="12.95" customHeight="1" x14ac:dyDescent="0.25">
      <c r="B411" s="45" t="str">
        <f>VLOOKUP(C411,SintéticoNC!$F$4:$G$83,2,FALSE)</f>
        <v>Josivaldo JP</v>
      </c>
      <c r="C411" s="42" t="s">
        <v>83</v>
      </c>
      <c r="D411" s="23" t="s">
        <v>153</v>
      </c>
      <c r="E411" s="43" t="s">
        <v>10</v>
      </c>
      <c r="F411" s="50"/>
      <c r="G411" s="50">
        <f>I335*ÍndiceCorreçãoNC!$C$9</f>
        <v>0</v>
      </c>
      <c r="H411" s="50">
        <f t="shared" si="18"/>
        <v>0</v>
      </c>
      <c r="I411" s="50">
        <f t="shared" si="19"/>
        <v>102711.22457999999</v>
      </c>
      <c r="J411" s="106" t="str">
        <f t="shared" si="20"/>
        <v/>
      </c>
      <c r="K411" s="105"/>
    </row>
    <row r="412" spans="2:11" ht="12.95" customHeight="1" x14ac:dyDescent="0.25">
      <c r="B412" s="45" t="str">
        <f>VLOOKUP(C412,SintéticoNC!$F$4:$G$83,2,FALSE)</f>
        <v>Junior Lourenço</v>
      </c>
      <c r="C412" s="42" t="s">
        <v>86</v>
      </c>
      <c r="D412" s="23" t="s">
        <v>153</v>
      </c>
      <c r="E412" s="43" t="s">
        <v>10</v>
      </c>
      <c r="F412" s="50"/>
      <c r="G412" s="50">
        <f>I336*ÍndiceCorreçãoNC!$C$9</f>
        <v>0</v>
      </c>
      <c r="H412" s="50">
        <f t="shared" si="18"/>
        <v>0</v>
      </c>
      <c r="I412" s="50">
        <f t="shared" si="19"/>
        <v>347405.61255000002</v>
      </c>
      <c r="J412" s="106" t="str">
        <f t="shared" si="20"/>
        <v/>
      </c>
      <c r="K412" s="105"/>
    </row>
    <row r="413" spans="2:11" ht="12.95" customHeight="1" x14ac:dyDescent="0.25">
      <c r="B413" s="45" t="str">
        <f>VLOOKUP(C413,SintéticoNC!$F$4:$G$83,2,FALSE)</f>
        <v>Leo de Brito</v>
      </c>
      <c r="C413" s="42" t="s">
        <v>89</v>
      </c>
      <c r="D413" s="23" t="s">
        <v>153</v>
      </c>
      <c r="E413" s="43" t="s">
        <v>10</v>
      </c>
      <c r="F413" s="50"/>
      <c r="G413" s="50">
        <f>I337*ÍndiceCorreçãoNC!$C$9</f>
        <v>0</v>
      </c>
      <c r="H413" s="50">
        <f t="shared" si="18"/>
        <v>0</v>
      </c>
      <c r="I413" s="50">
        <f t="shared" si="19"/>
        <v>432998.29969999997</v>
      </c>
      <c r="J413" s="106" t="str">
        <f t="shared" si="20"/>
        <v/>
      </c>
      <c r="K413" s="105"/>
    </row>
    <row r="414" spans="2:11" ht="12.95" customHeight="1" x14ac:dyDescent="0.25">
      <c r="B414" s="45" t="str">
        <f>VLOOKUP(C414,SintéticoNC!$F$4:$G$83,2,FALSE)</f>
        <v>Leur Lomanto</v>
      </c>
      <c r="C414" s="42" t="s">
        <v>92</v>
      </c>
      <c r="D414" s="23" t="s">
        <v>153</v>
      </c>
      <c r="E414" s="43" t="s">
        <v>10</v>
      </c>
      <c r="F414" s="50"/>
      <c r="G414" s="50">
        <f>I338*ÍndiceCorreçãoNC!$C$9</f>
        <v>0</v>
      </c>
      <c r="H414" s="50">
        <f t="shared" si="18"/>
        <v>0</v>
      </c>
      <c r="I414" s="50">
        <f t="shared" si="19"/>
        <v>66563.217456416998</v>
      </c>
      <c r="J414" s="106" t="str">
        <f t="shared" si="20"/>
        <v/>
      </c>
      <c r="K414" s="105"/>
    </row>
    <row r="415" spans="2:11" ht="12.95" customHeight="1" x14ac:dyDescent="0.25">
      <c r="B415" s="45" t="str">
        <f>VLOOKUP(C415,SintéticoNC!$F$4:$G$83,2,FALSE)</f>
        <v>Luciano Bivar</v>
      </c>
      <c r="C415" s="42" t="s">
        <v>95</v>
      </c>
      <c r="D415" s="23" t="s">
        <v>153</v>
      </c>
      <c r="E415" s="43" t="s">
        <v>10</v>
      </c>
      <c r="F415" s="50"/>
      <c r="G415" s="50">
        <f>I339*ÍndiceCorreçãoNC!$C$9</f>
        <v>0</v>
      </c>
      <c r="H415" s="50">
        <f t="shared" si="18"/>
        <v>0</v>
      </c>
      <c r="I415" s="50">
        <f t="shared" si="19"/>
        <v>2492.2979341616001</v>
      </c>
      <c r="J415" s="106" t="str">
        <f t="shared" si="20"/>
        <v/>
      </c>
      <c r="K415" s="105"/>
    </row>
    <row r="416" spans="2:11" ht="12.95" customHeight="1" x14ac:dyDescent="0.25">
      <c r="B416" s="45" t="str">
        <f>VLOOKUP(C416,SintéticoNC!$F$4:$G$83,2,FALSE)</f>
        <v>Luis Tibé</v>
      </c>
      <c r="C416" s="42" t="s">
        <v>98</v>
      </c>
      <c r="D416" s="23" t="s">
        <v>153</v>
      </c>
      <c r="E416" s="43" t="s">
        <v>10</v>
      </c>
      <c r="F416" s="50"/>
      <c r="G416" s="50">
        <f>I340*ÍndiceCorreçãoNC!$C$9</f>
        <v>0</v>
      </c>
      <c r="H416" s="50">
        <f t="shared" si="18"/>
        <v>0</v>
      </c>
      <c r="I416" s="50">
        <f t="shared" si="19"/>
        <v>208443.36752999999</v>
      </c>
      <c r="J416" s="106" t="str">
        <f t="shared" si="20"/>
        <v/>
      </c>
      <c r="K416" s="105"/>
    </row>
    <row r="417" spans="2:11" ht="12.95" customHeight="1" x14ac:dyDescent="0.25">
      <c r="B417" s="45" t="str">
        <f>VLOOKUP(C417,SintéticoNC!$F$4:$G$83,2,FALSE)</f>
        <v>Mara Rocha</v>
      </c>
      <c r="C417" s="42" t="s">
        <v>101</v>
      </c>
      <c r="D417" s="23" t="s">
        <v>153</v>
      </c>
      <c r="E417" s="43" t="s">
        <v>10</v>
      </c>
      <c r="F417" s="50"/>
      <c r="G417" s="50">
        <f>I341*ÍndiceCorreçãoNC!$C$9</f>
        <v>0</v>
      </c>
      <c r="H417" s="50">
        <f t="shared" si="18"/>
        <v>0</v>
      </c>
      <c r="I417" s="50">
        <f t="shared" si="19"/>
        <v>411222.61381352897</v>
      </c>
      <c r="J417" s="106" t="str">
        <f t="shared" si="20"/>
        <v/>
      </c>
      <c r="K417" s="105"/>
    </row>
    <row r="418" spans="2:11" ht="12.95" customHeight="1" x14ac:dyDescent="0.25">
      <c r="B418" s="45" t="str">
        <f>VLOOKUP(C418,SintéticoNC!$F$4:$G$83,2,FALSE)</f>
        <v>Marx Beltrão</v>
      </c>
      <c r="C418" s="42" t="s">
        <v>104</v>
      </c>
      <c r="D418" s="23" t="s">
        <v>153</v>
      </c>
      <c r="E418" s="43" t="s">
        <v>10</v>
      </c>
      <c r="F418" s="50"/>
      <c r="G418" s="50">
        <f>I342*ÍndiceCorreçãoNC!$C$9</f>
        <v>0</v>
      </c>
      <c r="H418" s="50">
        <f t="shared" si="18"/>
        <v>0</v>
      </c>
      <c r="I418" s="50">
        <f t="shared" si="19"/>
        <v>208443.36752999999</v>
      </c>
      <c r="J418" s="106" t="str">
        <f t="shared" si="20"/>
        <v/>
      </c>
      <c r="K418" s="105"/>
    </row>
    <row r="419" spans="2:11" ht="12.95" customHeight="1" x14ac:dyDescent="0.25">
      <c r="B419" s="45" t="str">
        <f>VLOOKUP(C419,SintéticoNC!$F$4:$G$83,2,FALSE)</f>
        <v>Ministério das Comunicações</v>
      </c>
      <c r="C419" s="42" t="s">
        <v>107</v>
      </c>
      <c r="D419" s="23" t="s">
        <v>153</v>
      </c>
      <c r="E419" s="43" t="s">
        <v>10</v>
      </c>
      <c r="F419" s="50"/>
      <c r="G419" s="50">
        <f>I343*ÍndiceCorreçãoNC!$C$9</f>
        <v>0</v>
      </c>
      <c r="H419" s="50">
        <f t="shared" si="18"/>
        <v>0</v>
      </c>
      <c r="I419" s="50">
        <f t="shared" si="19"/>
        <v>15499755.251688881</v>
      </c>
      <c r="J419" s="106" t="str">
        <f t="shared" si="20"/>
        <v/>
      </c>
      <c r="K419" s="105"/>
    </row>
    <row r="420" spans="2:11" ht="12.95" customHeight="1" x14ac:dyDescent="0.25">
      <c r="B420" s="45" t="str">
        <f>VLOOKUP(C420,SintéticoNC!$F$4:$G$83,2,FALSE)</f>
        <v>Ministério das Comunicações</v>
      </c>
      <c r="C420" s="42" t="s">
        <v>109</v>
      </c>
      <c r="D420" s="23" t="s">
        <v>153</v>
      </c>
      <c r="E420" s="43" t="s">
        <v>10</v>
      </c>
      <c r="F420" s="50"/>
      <c r="G420" s="50">
        <f>I344*ÍndiceCorreçãoNC!$C$9</f>
        <v>0</v>
      </c>
      <c r="H420" s="50">
        <f t="shared" si="18"/>
        <v>0</v>
      </c>
      <c r="I420" s="50">
        <f t="shared" si="19"/>
        <v>3713715.64952</v>
      </c>
      <c r="J420" s="106" t="str">
        <f t="shared" si="20"/>
        <v/>
      </c>
      <c r="K420" s="105"/>
    </row>
    <row r="421" spans="2:11" ht="12.95" customHeight="1" x14ac:dyDescent="0.25">
      <c r="B421" s="45" t="str">
        <f>VLOOKUP(C421,SintéticoNC!$F$4:$G$83,2,FALSE)</f>
        <v>Ministério das Comunicações</v>
      </c>
      <c r="C421" s="42" t="s">
        <v>111</v>
      </c>
      <c r="D421" s="23" t="s">
        <v>153</v>
      </c>
      <c r="E421" s="43" t="s">
        <v>10</v>
      </c>
      <c r="F421" s="50"/>
      <c r="G421" s="50">
        <f>I345*ÍndiceCorreçãoNC!$C$9</f>
        <v>0</v>
      </c>
      <c r="H421" s="50">
        <f t="shared" si="18"/>
        <v>0</v>
      </c>
      <c r="I421" s="50">
        <f t="shared" si="19"/>
        <v>10069727.9</v>
      </c>
      <c r="J421" s="106" t="str">
        <f t="shared" si="20"/>
        <v/>
      </c>
      <c r="K421" s="105"/>
    </row>
    <row r="422" spans="2:11" ht="12.95" customHeight="1" x14ac:dyDescent="0.25">
      <c r="B422" s="45" t="str">
        <f>VLOOKUP(C422,SintéticoNC!$F$4:$G$83,2,FALSE)</f>
        <v>Ministério da Educação</v>
      </c>
      <c r="C422" s="42" t="s">
        <v>114</v>
      </c>
      <c r="D422" s="23" t="s">
        <v>153</v>
      </c>
      <c r="E422" s="43" t="s">
        <v>10</v>
      </c>
      <c r="F422" s="50"/>
      <c r="G422" s="50">
        <f>I346*ÍndiceCorreçãoNC!$C$9</f>
        <v>0</v>
      </c>
      <c r="H422" s="50">
        <f t="shared" si="18"/>
        <v>0</v>
      </c>
      <c r="I422" s="50">
        <f t="shared" si="19"/>
        <v>16980781.538382418</v>
      </c>
      <c r="J422" s="106" t="str">
        <f t="shared" si="20"/>
        <v/>
      </c>
      <c r="K422" s="105"/>
    </row>
    <row r="423" spans="2:11" ht="12.95" customHeight="1" x14ac:dyDescent="0.25">
      <c r="B423" s="45" t="str">
        <f>VLOOKUP(C423,SintéticoNC!$F$4:$G$83,2,FALSE)</f>
        <v>Ministério da Educação</v>
      </c>
      <c r="C423" s="42" t="s">
        <v>116</v>
      </c>
      <c r="D423" s="23" t="s">
        <v>153</v>
      </c>
      <c r="E423" s="43" t="s">
        <v>10</v>
      </c>
      <c r="F423" s="50"/>
      <c r="G423" s="50">
        <f>I347*ÍndiceCorreçãoNC!$C$9</f>
        <v>0</v>
      </c>
      <c r="H423" s="50">
        <f t="shared" si="18"/>
        <v>0</v>
      </c>
      <c r="I423" s="50">
        <f t="shared" si="19"/>
        <v>3706666.8399899998</v>
      </c>
      <c r="J423" s="106" t="str">
        <f t="shared" si="20"/>
        <v/>
      </c>
      <c r="K423" s="105"/>
    </row>
    <row r="424" spans="2:11" ht="12.95" customHeight="1" x14ac:dyDescent="0.25">
      <c r="B424" s="45" t="str">
        <f>VLOOKUP(C424,SintéticoNC!$F$4:$G$83,2,FALSE)</f>
        <v>Ministério da Justiça</v>
      </c>
      <c r="C424" s="42" t="s">
        <v>119</v>
      </c>
      <c r="D424" s="23" t="s">
        <v>153</v>
      </c>
      <c r="E424" s="43" t="s">
        <v>10</v>
      </c>
      <c r="F424" s="50"/>
      <c r="G424" s="50">
        <f>I348*ÍndiceCorreçãoNC!$C$9</f>
        <v>0</v>
      </c>
      <c r="H424" s="50">
        <f t="shared" si="18"/>
        <v>0</v>
      </c>
      <c r="I424" s="50">
        <f t="shared" si="19"/>
        <v>630294.98193109501</v>
      </c>
      <c r="J424" s="106" t="str">
        <f t="shared" si="20"/>
        <v/>
      </c>
      <c r="K424" s="105"/>
    </row>
    <row r="425" spans="2:11" ht="12.95" customHeight="1" x14ac:dyDescent="0.25">
      <c r="B425" s="45" t="str">
        <f>VLOOKUP(C425,SintéticoNC!$F$4:$G$83,2,FALSE)</f>
        <v>Ministério do Meio Ambiente</v>
      </c>
      <c r="C425" s="42" t="s">
        <v>122</v>
      </c>
      <c r="D425" s="23" t="s">
        <v>153</v>
      </c>
      <c r="E425" s="43" t="s">
        <v>10</v>
      </c>
      <c r="F425" s="50"/>
      <c r="G425" s="50">
        <f>I349*ÍndiceCorreçãoNC!$C$9</f>
        <v>0</v>
      </c>
      <c r="H425" s="50">
        <f t="shared" si="18"/>
        <v>0</v>
      </c>
      <c r="I425" s="50">
        <f t="shared" si="19"/>
        <v>108551.66676199999</v>
      </c>
      <c r="J425" s="106" t="str">
        <f t="shared" si="20"/>
        <v/>
      </c>
      <c r="K425" s="105"/>
    </row>
    <row r="426" spans="2:11" ht="12.95" customHeight="1" x14ac:dyDescent="0.25">
      <c r="B426" s="45" t="str">
        <f>VLOOKUP(C426,SintéticoNC!$F$4:$G$83,2,FALSE)</f>
        <v>Perpétua Almeida</v>
      </c>
      <c r="C426" s="42" t="s">
        <v>125</v>
      </c>
      <c r="D426" s="23" t="s">
        <v>153</v>
      </c>
      <c r="E426" s="43" t="s">
        <v>10</v>
      </c>
      <c r="F426" s="50"/>
      <c r="G426" s="50">
        <f>I350*ÍndiceCorreçãoNC!$C$9</f>
        <v>0</v>
      </c>
      <c r="H426" s="50">
        <f t="shared" si="18"/>
        <v>0</v>
      </c>
      <c r="I426" s="50">
        <f t="shared" si="19"/>
        <v>416886.73505999998</v>
      </c>
      <c r="J426" s="106" t="str">
        <f t="shared" si="20"/>
        <v/>
      </c>
      <c r="K426" s="105"/>
    </row>
    <row r="427" spans="2:11" ht="12.95" customHeight="1" x14ac:dyDescent="0.25">
      <c r="B427" s="45" t="str">
        <f>VLOOKUP(C427,SintéticoNC!$F$4:$G$83,2,FALSE)</f>
        <v>PRF RO</v>
      </c>
      <c r="C427" s="42" t="s">
        <v>128</v>
      </c>
      <c r="D427" s="23" t="s">
        <v>153</v>
      </c>
      <c r="E427" s="43" t="s">
        <v>10</v>
      </c>
      <c r="F427" s="50"/>
      <c r="G427" s="50">
        <f>I351*ÍndiceCorreçãoNC!$C$9</f>
        <v>0</v>
      </c>
      <c r="H427" s="50">
        <f t="shared" si="18"/>
        <v>0</v>
      </c>
      <c r="I427" s="50">
        <f t="shared" si="19"/>
        <v>46723.537455999998</v>
      </c>
      <c r="J427" s="106" t="str">
        <f t="shared" si="20"/>
        <v/>
      </c>
      <c r="K427" s="105"/>
    </row>
    <row r="428" spans="2:11" ht="12.95" customHeight="1" x14ac:dyDescent="0.25">
      <c r="B428" s="45" t="str">
        <f>VLOOKUP(C428,SintéticoNC!$F$4:$G$83,2,FALSE)</f>
        <v>Senador Confúcio Moura</v>
      </c>
      <c r="C428" s="42" t="s">
        <v>131</v>
      </c>
      <c r="D428" s="23" t="s">
        <v>153</v>
      </c>
      <c r="E428" s="43" t="s">
        <v>10</v>
      </c>
      <c r="F428" s="50"/>
      <c r="G428" s="50">
        <f>I352*ÍndiceCorreçãoNC!$C$9</f>
        <v>0</v>
      </c>
      <c r="H428" s="50">
        <f t="shared" si="18"/>
        <v>0</v>
      </c>
      <c r="I428" s="50">
        <f t="shared" si="19"/>
        <v>345423.16507887124</v>
      </c>
      <c r="J428" s="106" t="str">
        <f t="shared" si="20"/>
        <v/>
      </c>
      <c r="K428" s="105"/>
    </row>
    <row r="429" spans="2:11" ht="12.95" customHeight="1" x14ac:dyDescent="0.25">
      <c r="B429" s="45" t="str">
        <f>VLOOKUP(C429,SintéticoNC!$F$4:$G$83,2,FALSE)</f>
        <v>Sérgio Petecão</v>
      </c>
      <c r="C429" s="42" t="s">
        <v>134</v>
      </c>
      <c r="D429" s="23" t="s">
        <v>153</v>
      </c>
      <c r="E429" s="43" t="s">
        <v>10</v>
      </c>
      <c r="F429" s="50"/>
      <c r="G429" s="50">
        <f>I353*ÍndiceCorreçãoNC!$C$9</f>
        <v>0</v>
      </c>
      <c r="H429" s="50">
        <f t="shared" si="18"/>
        <v>0</v>
      </c>
      <c r="I429" s="50">
        <f t="shared" si="19"/>
        <v>286973.14753094001</v>
      </c>
      <c r="J429" s="106" t="str">
        <f t="shared" si="20"/>
        <v/>
      </c>
      <c r="K429" s="105"/>
    </row>
    <row r="430" spans="2:11" ht="12.95" customHeight="1" x14ac:dyDescent="0.25">
      <c r="B430" s="45" t="str">
        <f>VLOOKUP(C430,SintéticoNC!$F$4:$G$83,2,FALSE)</f>
        <v>Soraya Thronicke</v>
      </c>
      <c r="C430" s="42" t="s">
        <v>137</v>
      </c>
      <c r="D430" s="23" t="s">
        <v>153</v>
      </c>
      <c r="E430" s="43" t="s">
        <v>10</v>
      </c>
      <c r="F430" s="50"/>
      <c r="G430" s="50">
        <f>I354*ÍndiceCorreçãoNC!$C$9</f>
        <v>0</v>
      </c>
      <c r="H430" s="50">
        <f t="shared" si="18"/>
        <v>0</v>
      </c>
      <c r="I430" s="50">
        <f t="shared" si="19"/>
        <v>347405.61255000002</v>
      </c>
      <c r="J430" s="106" t="str">
        <f t="shared" si="20"/>
        <v/>
      </c>
      <c r="K430" s="105"/>
    </row>
    <row r="431" spans="2:11" ht="12.95" customHeight="1" x14ac:dyDescent="0.25">
      <c r="B431" s="45" t="str">
        <f>VLOOKUP(C431,SintéticoNC!$F$4:$G$83,2,FALSE)</f>
        <v>Uldurico Junior</v>
      </c>
      <c r="C431" s="42" t="s">
        <v>140</v>
      </c>
      <c r="D431" s="23" t="s">
        <v>153</v>
      </c>
      <c r="E431" s="43" t="s">
        <v>10</v>
      </c>
      <c r="F431" s="50"/>
      <c r="G431" s="50">
        <f>I355*ÍndiceCorreçãoNC!$C$9</f>
        <v>0</v>
      </c>
      <c r="H431" s="50">
        <f t="shared" si="18"/>
        <v>0</v>
      </c>
      <c r="I431" s="50">
        <f t="shared" si="19"/>
        <v>311154.59211000003</v>
      </c>
      <c r="J431" s="106" t="str">
        <f t="shared" si="20"/>
        <v/>
      </c>
      <c r="K431" s="105"/>
    </row>
    <row r="432" spans="2:11" ht="12.95" customHeight="1" x14ac:dyDescent="0.25">
      <c r="B432" s="45" t="str">
        <f>VLOOKUP(C432,SintéticoNC!$F$4:$G$83,2,FALSE)</f>
        <v>Bancada de Alagoas</v>
      </c>
      <c r="C432" s="42" t="s">
        <v>156</v>
      </c>
      <c r="D432" s="23" t="s">
        <v>216</v>
      </c>
      <c r="E432" s="43" t="s">
        <v>10</v>
      </c>
      <c r="F432" s="50"/>
      <c r="G432" s="50">
        <f>I356*ÍndiceCorreçãoNC!$C$9</f>
        <v>0</v>
      </c>
      <c r="H432" s="50">
        <f t="shared" si="18"/>
        <v>0</v>
      </c>
      <c r="I432" s="50">
        <f t="shared" si="19"/>
        <v>612239.45632</v>
      </c>
      <c r="J432" s="106" t="str">
        <f t="shared" si="20"/>
        <v/>
      </c>
      <c r="K432" s="105"/>
    </row>
    <row r="433" spans="2:11" ht="12.95" customHeight="1" x14ac:dyDescent="0.25">
      <c r="B433" s="45" t="str">
        <f>VLOOKUP(C433,SintéticoNC!$F$4:$G$83,2,FALSE)</f>
        <v>Bancada de Alagoas</v>
      </c>
      <c r="C433" s="42" t="s">
        <v>158</v>
      </c>
      <c r="D433" s="23" t="s">
        <v>216</v>
      </c>
      <c r="E433" s="43" t="s">
        <v>10</v>
      </c>
      <c r="F433" s="50"/>
      <c r="G433" s="50">
        <f>I357*ÍndiceCorreçãoNC!$C$9</f>
        <v>0</v>
      </c>
      <c r="H433" s="50">
        <f t="shared" si="18"/>
        <v>0</v>
      </c>
      <c r="I433" s="50">
        <f t="shared" si="19"/>
        <v>176220.23824999999</v>
      </c>
      <c r="J433" s="106" t="str">
        <f t="shared" si="20"/>
        <v/>
      </c>
      <c r="K433" s="105"/>
    </row>
    <row r="434" spans="2:11" ht="12.95" customHeight="1" x14ac:dyDescent="0.25">
      <c r="B434" s="45" t="str">
        <f>VLOOKUP(C434,SintéticoNC!$F$4:$G$83,2,FALSE)</f>
        <v>Bancada de Alagoas</v>
      </c>
      <c r="C434" s="42" t="s">
        <v>160</v>
      </c>
      <c r="D434" s="23" t="s">
        <v>216</v>
      </c>
      <c r="E434" s="43" t="s">
        <v>10</v>
      </c>
      <c r="F434" s="50"/>
      <c r="G434" s="50">
        <f>I358*ÍndiceCorreçãoNC!$C$9</f>
        <v>0</v>
      </c>
      <c r="H434" s="50">
        <f t="shared" si="18"/>
        <v>0</v>
      </c>
      <c r="I434" s="50">
        <f t="shared" si="19"/>
        <v>755229.59250000003</v>
      </c>
      <c r="J434" s="106" t="str">
        <f t="shared" si="20"/>
        <v/>
      </c>
      <c r="K434" s="105"/>
    </row>
    <row r="435" spans="2:11" ht="12.95" customHeight="1" x14ac:dyDescent="0.25">
      <c r="B435" s="45" t="str">
        <f>VLOOKUP(C435,SintéticoNC!$F$4:$G$83,2,FALSE)</f>
        <v>Bancada de Minas Gerais</v>
      </c>
      <c r="C435" s="42" t="s">
        <v>162</v>
      </c>
      <c r="D435" s="23" t="s">
        <v>216</v>
      </c>
      <c r="E435" s="43" t="s">
        <v>10</v>
      </c>
      <c r="F435" s="50"/>
      <c r="G435" s="50">
        <f>I359*ÍndiceCorreçãoNC!$C$9</f>
        <v>0</v>
      </c>
      <c r="H435" s="50">
        <f t="shared" si="18"/>
        <v>0</v>
      </c>
      <c r="I435" s="50">
        <f t="shared" si="19"/>
        <v>5236258.5080000004</v>
      </c>
      <c r="J435" s="106" t="str">
        <f t="shared" si="20"/>
        <v/>
      </c>
      <c r="K435" s="105"/>
    </row>
    <row r="436" spans="2:11" ht="12.95" customHeight="1" x14ac:dyDescent="0.25">
      <c r="B436" s="45" t="str">
        <f>VLOOKUP(C436,SintéticoNC!$F$4:$G$83,2,FALSE)</f>
        <v>Bancada de São Paulo</v>
      </c>
      <c r="C436" s="42" t="s">
        <v>164</v>
      </c>
      <c r="D436" s="23" t="s">
        <v>216</v>
      </c>
      <c r="E436" s="43" t="s">
        <v>10</v>
      </c>
      <c r="F436" s="50"/>
      <c r="G436" s="50">
        <f>I360*ÍndiceCorreçãoNC!$C$9</f>
        <v>0</v>
      </c>
      <c r="H436" s="50">
        <f t="shared" si="18"/>
        <v>0</v>
      </c>
      <c r="I436" s="50">
        <f t="shared" si="19"/>
        <v>700128.04143119999</v>
      </c>
      <c r="J436" s="106" t="str">
        <f t="shared" si="20"/>
        <v/>
      </c>
      <c r="K436" s="105"/>
    </row>
    <row r="437" spans="2:11" ht="12.95" customHeight="1" x14ac:dyDescent="0.25">
      <c r="B437" s="45" t="str">
        <f>VLOOKUP(C437,SintéticoNC!$F$4:$G$83,2,FALSE)</f>
        <v>Bancada do Espírito Santo</v>
      </c>
      <c r="C437" s="42" t="s">
        <v>166</v>
      </c>
      <c r="D437" s="23" t="s">
        <v>216</v>
      </c>
      <c r="E437" s="43" t="s">
        <v>10</v>
      </c>
      <c r="F437" s="50"/>
      <c r="G437" s="50">
        <f>I361*ÍndiceCorreçãoNC!$C$9</f>
        <v>0</v>
      </c>
      <c r="H437" s="50">
        <f t="shared" si="18"/>
        <v>0</v>
      </c>
      <c r="I437" s="50">
        <f t="shared" si="19"/>
        <v>788459.69457000005</v>
      </c>
      <c r="J437" s="106" t="str">
        <f t="shared" si="20"/>
        <v/>
      </c>
      <c r="K437" s="105"/>
    </row>
    <row r="438" spans="2:11" ht="12.95" customHeight="1" x14ac:dyDescent="0.25">
      <c r="B438" s="45" t="str">
        <f>VLOOKUP(C438,SintéticoNC!$F$4:$G$83,2,FALSE)</f>
        <v>Bancada do Espírito Santo</v>
      </c>
      <c r="C438" s="42" t="s">
        <v>168</v>
      </c>
      <c r="D438" s="23" t="s">
        <v>216</v>
      </c>
      <c r="E438" s="43" t="s">
        <v>10</v>
      </c>
      <c r="F438" s="50"/>
      <c r="G438" s="50">
        <f>I362*ÍndiceCorreçãoNC!$C$9</f>
        <v>0</v>
      </c>
      <c r="H438" s="50">
        <f t="shared" si="18"/>
        <v>0</v>
      </c>
      <c r="I438" s="50">
        <f t="shared" si="19"/>
        <v>846012.20733993209</v>
      </c>
      <c r="J438" s="106" t="str">
        <f t="shared" si="20"/>
        <v/>
      </c>
      <c r="K438" s="105"/>
    </row>
    <row r="439" spans="2:11" ht="12.95" customHeight="1" x14ac:dyDescent="0.25">
      <c r="B439" s="45" t="str">
        <f>VLOOKUP(C439,SintéticoNC!$F$4:$G$83,2,FALSE)</f>
        <v>Bancada do Pará</v>
      </c>
      <c r="C439" s="42" t="s">
        <v>170</v>
      </c>
      <c r="D439" s="23" t="s">
        <v>216</v>
      </c>
      <c r="E439" s="43" t="s">
        <v>10</v>
      </c>
      <c r="F439" s="50"/>
      <c r="G439" s="50">
        <f>I363*ÍndiceCorreçãoNC!$C$9</f>
        <v>0</v>
      </c>
      <c r="H439" s="50">
        <f t="shared" si="18"/>
        <v>0</v>
      </c>
      <c r="I439" s="50">
        <f t="shared" si="19"/>
        <v>185282.99335999999</v>
      </c>
      <c r="J439" s="106" t="str">
        <f t="shared" si="20"/>
        <v/>
      </c>
      <c r="K439" s="105"/>
    </row>
    <row r="440" spans="2:11" ht="12.95" customHeight="1" x14ac:dyDescent="0.25">
      <c r="B440" s="45" t="str">
        <f>VLOOKUP(C440,SintéticoNC!$F$4:$G$83,2,FALSE)</f>
        <v>Bancada do Pará</v>
      </c>
      <c r="C440" s="42" t="s">
        <v>172</v>
      </c>
      <c r="D440" s="23" t="s">
        <v>216</v>
      </c>
      <c r="E440" s="43" t="s">
        <v>10</v>
      </c>
      <c r="F440" s="50"/>
      <c r="G440" s="50">
        <f>I364*ÍndiceCorreçãoNC!$C$9</f>
        <v>0</v>
      </c>
      <c r="H440" s="50">
        <f t="shared" si="18"/>
        <v>0</v>
      </c>
      <c r="I440" s="50">
        <f t="shared" si="19"/>
        <v>314598.4390518</v>
      </c>
      <c r="J440" s="106" t="str">
        <f t="shared" si="20"/>
        <v/>
      </c>
      <c r="K440" s="105"/>
    </row>
    <row r="441" spans="2:11" ht="12.95" customHeight="1" x14ac:dyDescent="0.25">
      <c r="B441" s="45" t="str">
        <f>VLOOKUP(C441,SintéticoNC!$F$4:$G$83,2,FALSE)</f>
        <v>Coronel Chrisóstomo</v>
      </c>
      <c r="C441" s="42" t="s">
        <v>174</v>
      </c>
      <c r="D441" s="23" t="s">
        <v>216</v>
      </c>
      <c r="E441" s="43" t="s">
        <v>10</v>
      </c>
      <c r="F441" s="50"/>
      <c r="G441" s="50">
        <f>I365*ÍndiceCorreçãoNC!$C$9</f>
        <v>0</v>
      </c>
      <c r="H441" s="50">
        <f t="shared" si="18"/>
        <v>0</v>
      </c>
      <c r="I441" s="50">
        <f t="shared" si="19"/>
        <v>61928.826585000003</v>
      </c>
      <c r="J441" s="106" t="str">
        <f t="shared" si="20"/>
        <v/>
      </c>
      <c r="K441" s="105"/>
    </row>
    <row r="442" spans="2:11" ht="12.95" customHeight="1" x14ac:dyDescent="0.25">
      <c r="B442" s="45" t="str">
        <f>VLOOKUP(C442,SintéticoNC!$F$4:$G$83,2,FALSE)</f>
        <v>Dimas Fabiano</v>
      </c>
      <c r="C442" s="42" t="s">
        <v>176</v>
      </c>
      <c r="D442" s="23" t="s">
        <v>216</v>
      </c>
      <c r="E442" s="43" t="s">
        <v>10</v>
      </c>
      <c r="F442" s="50"/>
      <c r="G442" s="50">
        <f>I366*ÍndiceCorreçãoNC!$C$9</f>
        <v>0</v>
      </c>
      <c r="H442" s="50">
        <f t="shared" si="18"/>
        <v>0</v>
      </c>
      <c r="I442" s="50">
        <f t="shared" si="19"/>
        <v>93648.469469999996</v>
      </c>
      <c r="J442" s="106" t="str">
        <f t="shared" si="20"/>
        <v/>
      </c>
      <c r="K442" s="105"/>
    </row>
    <row r="443" spans="2:11" ht="12.95" customHeight="1" x14ac:dyDescent="0.25">
      <c r="B443" s="45" t="str">
        <f>VLOOKUP(C443,SintéticoNC!$F$4:$G$83,2,FALSE)</f>
        <v>Edna Henrique</v>
      </c>
      <c r="C443" s="42" t="s">
        <v>178</v>
      </c>
      <c r="D443" s="23" t="s">
        <v>216</v>
      </c>
      <c r="E443" s="43" t="s">
        <v>10</v>
      </c>
      <c r="F443" s="50"/>
      <c r="G443" s="50">
        <f>I367*ÍndiceCorreçãoNC!$C$9</f>
        <v>0</v>
      </c>
      <c r="H443" s="50">
        <f t="shared" si="18"/>
        <v>0</v>
      </c>
      <c r="I443" s="50">
        <f t="shared" si="19"/>
        <v>92641.496679999997</v>
      </c>
      <c r="J443" s="106" t="str">
        <f t="shared" si="20"/>
        <v/>
      </c>
      <c r="K443" s="105"/>
    </row>
    <row r="444" spans="2:11" ht="12.95" customHeight="1" x14ac:dyDescent="0.25">
      <c r="B444" s="45" t="str">
        <f>VLOOKUP(C444,SintéticoNC!$F$4:$G$83,2,FALSE)</f>
        <v>Fabio Reis</v>
      </c>
      <c r="C444" s="42" t="s">
        <v>180</v>
      </c>
      <c r="D444" s="23" t="s">
        <v>216</v>
      </c>
      <c r="E444" s="43" t="s">
        <v>10</v>
      </c>
      <c r="F444" s="50"/>
      <c r="G444" s="50">
        <f>I368*ÍndiceCorreçãoNC!$C$9</f>
        <v>0</v>
      </c>
      <c r="H444" s="50">
        <f t="shared" si="18"/>
        <v>0</v>
      </c>
      <c r="I444" s="50">
        <f t="shared" si="19"/>
        <v>42172.020445200003</v>
      </c>
      <c r="J444" s="106" t="str">
        <f t="shared" si="20"/>
        <v/>
      </c>
      <c r="K444" s="105"/>
    </row>
    <row r="445" spans="2:11" ht="12.95" customHeight="1" x14ac:dyDescent="0.25">
      <c r="B445" s="45" t="str">
        <f>VLOOKUP(C445,SintéticoNC!$F$4:$G$83,2,FALSE)</f>
        <v>Flavia Arruda</v>
      </c>
      <c r="C445" s="42" t="s">
        <v>182</v>
      </c>
      <c r="D445" s="23" t="s">
        <v>216</v>
      </c>
      <c r="E445" s="43" t="s">
        <v>10</v>
      </c>
      <c r="F445" s="50"/>
      <c r="G445" s="50">
        <f>I369*ÍndiceCorreçãoNC!$C$9</f>
        <v>0</v>
      </c>
      <c r="H445" s="50">
        <f t="shared" si="18"/>
        <v>0</v>
      </c>
      <c r="I445" s="50">
        <f t="shared" si="19"/>
        <v>371113.77991776</v>
      </c>
      <c r="J445" s="106" t="str">
        <f t="shared" si="20"/>
        <v/>
      </c>
      <c r="K445" s="105"/>
    </row>
    <row r="446" spans="2:11" ht="12.95" customHeight="1" x14ac:dyDescent="0.25">
      <c r="B446" s="45" t="str">
        <f>VLOOKUP(C446,SintéticoNC!$F$4:$G$83,2,FALSE)</f>
        <v>General Girão</v>
      </c>
      <c r="C446" s="42" t="s">
        <v>184</v>
      </c>
      <c r="D446" s="23" t="s">
        <v>216</v>
      </c>
      <c r="E446" s="43" t="s">
        <v>10</v>
      </c>
      <c r="F446" s="50"/>
      <c r="G446" s="50">
        <f>I370*ÍndiceCorreçãoNC!$C$9</f>
        <v>0</v>
      </c>
      <c r="H446" s="50">
        <f t="shared" si="18"/>
        <v>0</v>
      </c>
      <c r="I446" s="50">
        <f t="shared" si="19"/>
        <v>93648.469469999996</v>
      </c>
      <c r="J446" s="106" t="str">
        <f t="shared" si="20"/>
        <v/>
      </c>
      <c r="K446" s="105"/>
    </row>
    <row r="447" spans="2:11" ht="12.95" customHeight="1" x14ac:dyDescent="0.25">
      <c r="B447" s="45" t="str">
        <f>VLOOKUP(C447,SintéticoNC!$F$4:$G$83,2,FALSE)</f>
        <v>José Nunes</v>
      </c>
      <c r="C447" s="42" t="s">
        <v>186</v>
      </c>
      <c r="D447" s="23" t="s">
        <v>216</v>
      </c>
      <c r="E447" s="43" t="s">
        <v>10</v>
      </c>
      <c r="F447" s="50"/>
      <c r="G447" s="50">
        <f>I371*ÍndiceCorreçãoNC!$C$9</f>
        <v>0</v>
      </c>
      <c r="H447" s="50">
        <f t="shared" si="18"/>
        <v>0</v>
      </c>
      <c r="I447" s="50">
        <f t="shared" si="19"/>
        <v>93648.469469999996</v>
      </c>
      <c r="J447" s="106" t="str">
        <f t="shared" si="20"/>
        <v/>
      </c>
      <c r="K447" s="105"/>
    </row>
    <row r="448" spans="2:11" ht="12.95" customHeight="1" x14ac:dyDescent="0.25">
      <c r="B448" s="45" t="str">
        <f>VLOOKUP(C448,SintéticoNC!$F$4:$G$83,2,FALSE)</f>
        <v>Josivaldo JP</v>
      </c>
      <c r="C448" s="42" t="s">
        <v>188</v>
      </c>
      <c r="D448" s="23" t="s">
        <v>216</v>
      </c>
      <c r="E448" s="43" t="s">
        <v>10</v>
      </c>
      <c r="F448" s="50"/>
      <c r="G448" s="50">
        <f>I372*ÍndiceCorreçãoNC!$C$9</f>
        <v>0</v>
      </c>
      <c r="H448" s="50">
        <f t="shared" si="18"/>
        <v>0</v>
      </c>
      <c r="I448" s="50">
        <f t="shared" si="19"/>
        <v>48334.693919999998</v>
      </c>
      <c r="J448" s="106" t="str">
        <f t="shared" si="20"/>
        <v/>
      </c>
      <c r="K448" s="105"/>
    </row>
    <row r="449" spans="2:11" ht="12.95" customHeight="1" x14ac:dyDescent="0.25">
      <c r="B449" s="45" t="str">
        <f>VLOOKUP(C449,SintéticoNC!$F$4:$G$83,2,FALSE)</f>
        <v>Junior Lourenço</v>
      </c>
      <c r="C449" s="42" t="s">
        <v>190</v>
      </c>
      <c r="D449" s="23" t="s">
        <v>216</v>
      </c>
      <c r="E449" s="43" t="s">
        <v>10</v>
      </c>
      <c r="F449" s="50"/>
      <c r="G449" s="50">
        <f>I373*ÍndiceCorreçãoNC!$C$9</f>
        <v>0</v>
      </c>
      <c r="H449" s="50">
        <f t="shared" si="18"/>
        <v>0</v>
      </c>
      <c r="I449" s="50">
        <f t="shared" si="19"/>
        <v>156080.78245</v>
      </c>
      <c r="J449" s="106" t="str">
        <f t="shared" si="20"/>
        <v/>
      </c>
      <c r="K449" s="105"/>
    </row>
    <row r="450" spans="2:11" ht="12.95" customHeight="1" x14ac:dyDescent="0.25">
      <c r="B450" s="45" t="str">
        <f>VLOOKUP(C450,SintéticoNC!$F$4:$G$83,2,FALSE)</f>
        <v>Leo de Brito</v>
      </c>
      <c r="C450" s="42" t="s">
        <v>192</v>
      </c>
      <c r="D450" s="23" t="s">
        <v>216</v>
      </c>
      <c r="E450" s="43" t="s">
        <v>10</v>
      </c>
      <c r="F450" s="50"/>
      <c r="G450" s="50">
        <f>I374*ÍndiceCorreçãoNC!$C$9</f>
        <v>0</v>
      </c>
      <c r="H450" s="50">
        <f t="shared" si="18"/>
        <v>0</v>
      </c>
      <c r="I450" s="50">
        <f t="shared" si="19"/>
        <v>171185.3743</v>
      </c>
      <c r="J450" s="106" t="str">
        <f t="shared" si="20"/>
        <v/>
      </c>
      <c r="K450" s="105"/>
    </row>
    <row r="451" spans="2:11" ht="12.95" customHeight="1" x14ac:dyDescent="0.25">
      <c r="B451" s="45" t="str">
        <f>VLOOKUP(C451,SintéticoNC!$F$4:$G$83,2,FALSE)</f>
        <v>Luciano Bivar</v>
      </c>
      <c r="C451" s="42" t="s">
        <v>194</v>
      </c>
      <c r="D451" s="23" t="s">
        <v>216</v>
      </c>
      <c r="E451" s="43" t="s">
        <v>10</v>
      </c>
      <c r="F451" s="50"/>
      <c r="G451" s="50">
        <f>I375*ÍndiceCorreçãoNC!$C$9</f>
        <v>0</v>
      </c>
      <c r="H451" s="50">
        <f t="shared" si="18"/>
        <v>0</v>
      </c>
      <c r="I451" s="50">
        <f t="shared" si="19"/>
        <v>93648.469469999996</v>
      </c>
      <c r="J451" s="106" t="str">
        <f t="shared" si="20"/>
        <v/>
      </c>
      <c r="K451" s="105"/>
    </row>
    <row r="452" spans="2:11" ht="12.95" customHeight="1" x14ac:dyDescent="0.25">
      <c r="B452" s="45" t="str">
        <f>VLOOKUP(C452,SintéticoNC!$F$4:$G$83,2,FALSE)</f>
        <v>Luis Tibé</v>
      </c>
      <c r="C452" s="42" t="s">
        <v>196</v>
      </c>
      <c r="D452" s="23" t="s">
        <v>216</v>
      </c>
      <c r="E452" s="43" t="s">
        <v>10</v>
      </c>
      <c r="F452" s="50"/>
      <c r="G452" s="50">
        <f>I376*ÍndiceCorreçãoNC!$C$9</f>
        <v>0</v>
      </c>
      <c r="H452" s="50">
        <f t="shared" si="18"/>
        <v>0</v>
      </c>
      <c r="I452" s="50">
        <f t="shared" si="19"/>
        <v>93648.469469999996</v>
      </c>
      <c r="J452" s="106" t="str">
        <f t="shared" si="20"/>
        <v/>
      </c>
      <c r="K452" s="105"/>
    </row>
    <row r="453" spans="2:11" ht="12.95" customHeight="1" x14ac:dyDescent="0.25">
      <c r="B453" s="45" t="str">
        <f>VLOOKUP(C453,SintéticoNC!$F$4:$G$83,2,FALSE)</f>
        <v>Mara Rocha</v>
      </c>
      <c r="C453" s="42" t="s">
        <v>198</v>
      </c>
      <c r="D453" s="23" t="s">
        <v>216</v>
      </c>
      <c r="E453" s="43" t="s">
        <v>10</v>
      </c>
      <c r="F453" s="50"/>
      <c r="G453" s="50">
        <f>I377*ÍndiceCorreçãoNC!$C$9</f>
        <v>0</v>
      </c>
      <c r="H453" s="50">
        <f t="shared" si="18"/>
        <v>0</v>
      </c>
      <c r="I453" s="50">
        <f t="shared" si="19"/>
        <v>171185.3743</v>
      </c>
      <c r="J453" s="106" t="str">
        <f t="shared" si="20"/>
        <v/>
      </c>
      <c r="K453" s="105"/>
    </row>
    <row r="454" spans="2:11" ht="12.95" customHeight="1" x14ac:dyDescent="0.25">
      <c r="B454" s="45" t="str">
        <f>VLOOKUP(C454,SintéticoNC!$F$4:$G$83,2,FALSE)</f>
        <v>Marx Beltrão</v>
      </c>
      <c r="C454" s="42" t="s">
        <v>200</v>
      </c>
      <c r="D454" s="23" t="s">
        <v>216</v>
      </c>
      <c r="E454" s="43" t="s">
        <v>10</v>
      </c>
      <c r="F454" s="50"/>
      <c r="G454" s="50">
        <f>I378*ÍndiceCorreçãoNC!$C$9</f>
        <v>0</v>
      </c>
      <c r="H454" s="50">
        <f t="shared" si="18"/>
        <v>0</v>
      </c>
      <c r="I454" s="50">
        <f t="shared" si="19"/>
        <v>93648.469469999996</v>
      </c>
      <c r="J454" s="106" t="str">
        <f t="shared" si="20"/>
        <v/>
      </c>
      <c r="K454" s="105"/>
    </row>
    <row r="455" spans="2:11" ht="12.95" customHeight="1" x14ac:dyDescent="0.25">
      <c r="B455" s="45" t="str">
        <f>VLOOKUP(C455,SintéticoNC!$F$4:$G$83,2,FALSE)</f>
        <v>Perpétua Almeida</v>
      </c>
      <c r="C455" s="42" t="s">
        <v>202</v>
      </c>
      <c r="D455" s="23" t="s">
        <v>216</v>
      </c>
      <c r="E455" s="43" t="s">
        <v>10</v>
      </c>
      <c r="F455" s="50"/>
      <c r="G455" s="50">
        <f>I379*ÍndiceCorreçãoNC!$C$9</f>
        <v>0</v>
      </c>
      <c r="H455" s="50">
        <f t="shared" si="18"/>
        <v>0</v>
      </c>
      <c r="I455" s="50">
        <f t="shared" si="19"/>
        <v>194341.72057884</v>
      </c>
      <c r="J455" s="106" t="str">
        <f t="shared" si="20"/>
        <v/>
      </c>
      <c r="K455" s="105"/>
    </row>
    <row r="456" spans="2:11" ht="12.95" customHeight="1" x14ac:dyDescent="0.25">
      <c r="B456" s="45" t="str">
        <f>VLOOKUP(C456,SintéticoNC!$F$4:$G$83,2,FALSE)</f>
        <v>Sérgio Petecão</v>
      </c>
      <c r="C456" s="42" t="s">
        <v>204</v>
      </c>
      <c r="D456" s="23" t="s">
        <v>216</v>
      </c>
      <c r="E456" s="43" t="s">
        <v>10</v>
      </c>
      <c r="F456" s="50"/>
      <c r="G456" s="50">
        <f>I380*ÍndiceCorreçãoNC!$C$9</f>
        <v>0</v>
      </c>
      <c r="H456" s="50">
        <f t="shared" si="18"/>
        <v>0</v>
      </c>
      <c r="I456" s="50">
        <f t="shared" si="19"/>
        <v>133538.68957305999</v>
      </c>
      <c r="J456" s="106" t="str">
        <f t="shared" si="20"/>
        <v/>
      </c>
      <c r="K456" s="105"/>
    </row>
    <row r="457" spans="2:11" ht="12.95" customHeight="1" x14ac:dyDescent="0.25">
      <c r="B457" s="45" t="str">
        <f>VLOOKUP(C457,SintéticoNC!$F$4:$G$83,2,FALSE)</f>
        <v>Uldurico Junior</v>
      </c>
      <c r="C457" s="42" t="s">
        <v>206</v>
      </c>
      <c r="D457" s="23" t="s">
        <v>216</v>
      </c>
      <c r="E457" s="43" t="s">
        <v>10</v>
      </c>
      <c r="F457" s="50"/>
      <c r="G457" s="50">
        <f>I381*ÍndiceCorreçãoNC!$C$9</f>
        <v>0</v>
      </c>
      <c r="H457" s="50">
        <f t="shared" si="18"/>
        <v>0</v>
      </c>
      <c r="I457" s="50">
        <f t="shared" si="19"/>
        <v>141983.16339</v>
      </c>
      <c r="J457" s="106" t="str">
        <f t="shared" si="20"/>
        <v/>
      </c>
      <c r="K457" s="105"/>
    </row>
    <row r="458" spans="2:11" ht="12.95" customHeight="1" x14ac:dyDescent="0.25">
      <c r="B458" s="45" t="str">
        <f>VLOOKUP(C458,SintéticoNC!$F$4:$G$83,2,FALSE)</f>
        <v>Soraya Thronicke</v>
      </c>
      <c r="C458" s="42" t="s">
        <v>208</v>
      </c>
      <c r="D458" s="23" t="s">
        <v>216</v>
      </c>
      <c r="E458" s="43" t="s">
        <v>10</v>
      </c>
      <c r="F458" s="50"/>
      <c r="G458" s="50">
        <f>I382*ÍndiceCorreçãoNC!$C$9</f>
        <v>0</v>
      </c>
      <c r="H458" s="50">
        <f t="shared" si="18"/>
        <v>0</v>
      </c>
      <c r="I458" s="50">
        <f t="shared" si="19"/>
        <v>156080.78245</v>
      </c>
      <c r="J458" s="106" t="str">
        <f t="shared" si="20"/>
        <v/>
      </c>
      <c r="K458" s="105"/>
    </row>
    <row r="459" spans="2:11" ht="12.95" customHeight="1" x14ac:dyDescent="0.25">
      <c r="B459" s="45" t="str">
        <f>VLOOKUP(C459,SintéticoNC!$F$4:$G$83,2,FALSE)</f>
        <v>MCom</v>
      </c>
      <c r="C459" s="42" t="s">
        <v>211</v>
      </c>
      <c r="D459" s="23" t="s">
        <v>216</v>
      </c>
      <c r="E459" s="43" t="s">
        <v>10</v>
      </c>
      <c r="F459" s="50"/>
      <c r="G459" s="50">
        <f>I383*ÍndiceCorreçãoNC!$C$9</f>
        <v>0</v>
      </c>
      <c r="H459" s="50">
        <f t="shared" si="18"/>
        <v>0</v>
      </c>
      <c r="I459" s="50">
        <f t="shared" si="19"/>
        <v>503486.39500000002</v>
      </c>
      <c r="J459" s="106" t="str">
        <f t="shared" si="20"/>
        <v/>
      </c>
      <c r="K459" s="105"/>
    </row>
    <row r="460" spans="2:11" ht="12.95" customHeight="1" x14ac:dyDescent="0.25">
      <c r="B460" s="45" t="str">
        <f>VLOOKUP(C460,SintéticoNC!$F$4:$G$83,2,FALSE)</f>
        <v>Cabo Junio Amaral</v>
      </c>
      <c r="C460" s="42" t="s">
        <v>213</v>
      </c>
      <c r="D460" s="23" t="s">
        <v>216</v>
      </c>
      <c r="E460" s="43" t="s">
        <v>10</v>
      </c>
      <c r="F460" s="50"/>
      <c r="G460" s="50">
        <f>I384*ÍndiceCorreçãoNC!$C$9</f>
        <v>0</v>
      </c>
      <c r="H460" s="50">
        <f t="shared" si="18"/>
        <v>0</v>
      </c>
      <c r="I460" s="50">
        <f t="shared" si="19"/>
        <v>93648.469469999996</v>
      </c>
      <c r="J460" s="106" t="str">
        <f t="shared" si="20"/>
        <v/>
      </c>
      <c r="K460" s="105"/>
    </row>
    <row r="461" spans="2:11" ht="12.95" customHeight="1" x14ac:dyDescent="0.25">
      <c r="B461" s="45" t="str">
        <f>VLOOKUP(C461,SintéticoNC!$F$4:$G$83,2,FALSE)</f>
        <v>Leur Lomanto</v>
      </c>
      <c r="C461" s="42" t="s">
        <v>215</v>
      </c>
      <c r="D461" s="23" t="s">
        <v>216</v>
      </c>
      <c r="E461" s="43" t="s">
        <v>10</v>
      </c>
      <c r="F461" s="50"/>
      <c r="G461" s="50">
        <f>I385*ÍndiceCorreçãoNC!$C$9</f>
        <v>0</v>
      </c>
      <c r="H461" s="50">
        <f t="shared" si="18"/>
        <v>0</v>
      </c>
      <c r="I461" s="50">
        <f t="shared" si="19"/>
        <v>28195.238120000002</v>
      </c>
      <c r="J461" s="106" t="str">
        <f t="shared" si="20"/>
        <v/>
      </c>
      <c r="K461" s="105"/>
    </row>
    <row r="462" spans="2:11" ht="12.95" customHeight="1" x14ac:dyDescent="0.25">
      <c r="B462" s="45" t="str">
        <f>VLOOKUP(C462,SintéticoNC!$F$4:$G$83,2,FALSE)</f>
        <v>Bancada de Alagoas</v>
      </c>
      <c r="C462" s="42" t="s">
        <v>141</v>
      </c>
      <c r="D462" s="23" t="s">
        <v>153</v>
      </c>
      <c r="E462" s="43" t="s">
        <v>11</v>
      </c>
      <c r="F462" s="50"/>
      <c r="G462" s="50">
        <f>I386*ÍndiceCorreçãoNC!$C$10</f>
        <v>0</v>
      </c>
      <c r="H462" s="50">
        <f t="shared" si="18"/>
        <v>0</v>
      </c>
      <c r="I462" s="50">
        <f t="shared" si="19"/>
        <v>1814033.9908278328</v>
      </c>
      <c r="J462" s="106" t="str">
        <f t="shared" si="20"/>
        <v/>
      </c>
      <c r="K462" s="105"/>
    </row>
    <row r="463" spans="2:11" ht="12.95" customHeight="1" x14ac:dyDescent="0.25">
      <c r="B463" s="45" t="str">
        <f>VLOOKUP(C463,SintéticoNC!$F$4:$G$83,2,FALSE)</f>
        <v>Bancada de Alagoas</v>
      </c>
      <c r="C463" s="42" t="s">
        <v>142</v>
      </c>
      <c r="D463" s="23" t="s">
        <v>153</v>
      </c>
      <c r="E463" s="43" t="s">
        <v>11</v>
      </c>
      <c r="F463" s="50"/>
      <c r="G463" s="50">
        <f>I387*ÍndiceCorreçãoNC!$C$10</f>
        <v>0</v>
      </c>
      <c r="H463" s="50">
        <f t="shared" si="18"/>
        <v>0</v>
      </c>
      <c r="I463" s="50">
        <f t="shared" si="19"/>
        <v>528056.53107599996</v>
      </c>
      <c r="J463" s="106" t="str">
        <f t="shared" si="20"/>
        <v/>
      </c>
      <c r="K463" s="105"/>
    </row>
    <row r="464" spans="2:11" ht="12.95" customHeight="1" x14ac:dyDescent="0.25">
      <c r="B464" s="45" t="str">
        <f>VLOOKUP(C464,SintéticoNC!$F$4:$G$83,2,FALSE)</f>
        <v>Bancada de Alagoas</v>
      </c>
      <c r="C464" s="42" t="s">
        <v>143</v>
      </c>
      <c r="D464" s="23" t="s">
        <v>153</v>
      </c>
      <c r="E464" s="43" t="s">
        <v>11</v>
      </c>
      <c r="F464" s="50"/>
      <c r="G464" s="50">
        <f>I388*ÍndiceCorreçãoNC!$C$10</f>
        <v>0</v>
      </c>
      <c r="H464" s="50">
        <f t="shared" si="18"/>
        <v>0</v>
      </c>
      <c r="I464" s="50">
        <f t="shared" si="19"/>
        <v>5262250.4896554798</v>
      </c>
      <c r="J464" s="106" t="str">
        <f t="shared" si="20"/>
        <v/>
      </c>
      <c r="K464" s="105"/>
    </row>
    <row r="465" spans="2:11" ht="12.95" customHeight="1" x14ac:dyDescent="0.25">
      <c r="B465" s="45" t="str">
        <f>VLOOKUP(C465,SintéticoNC!$F$4:$G$83,2,FALSE)</f>
        <v>Bancada de Minas Gerais</v>
      </c>
      <c r="C465" s="42" t="s">
        <v>144</v>
      </c>
      <c r="D465" s="23" t="s">
        <v>153</v>
      </c>
      <c r="E465" s="43" t="s">
        <v>11</v>
      </c>
      <c r="F465" s="50"/>
      <c r="G465" s="50">
        <f>I389*ÍndiceCorreçãoNC!$C$10</f>
        <v>0</v>
      </c>
      <c r="H465" s="50">
        <f t="shared" si="18"/>
        <v>0</v>
      </c>
      <c r="I465" s="50">
        <f t="shared" si="19"/>
        <v>13370850.949225677</v>
      </c>
      <c r="J465" s="106" t="str">
        <f t="shared" si="20"/>
        <v/>
      </c>
      <c r="K465" s="105"/>
    </row>
    <row r="466" spans="2:11" ht="12.95" customHeight="1" x14ac:dyDescent="0.25">
      <c r="B466" s="45" t="str">
        <f>VLOOKUP(C466,SintéticoNC!$F$4:$G$83,2,FALSE)</f>
        <v>Bancada de São Paulo</v>
      </c>
      <c r="C466" s="42" t="s">
        <v>145</v>
      </c>
      <c r="D466" s="23" t="s">
        <v>153</v>
      </c>
      <c r="E466" s="43" t="s">
        <v>11</v>
      </c>
      <c r="F466" s="50"/>
      <c r="G466" s="50">
        <f>I390*ÍndiceCorreçãoNC!$C$10</f>
        <v>0</v>
      </c>
      <c r="H466" s="50">
        <f t="shared" ref="H466:H529" si="21">IF(I390+G466&gt;F466,F466,I390+G466)</f>
        <v>0</v>
      </c>
      <c r="I466" s="50">
        <f t="shared" ref="I466:I529" si="22">IF(F466&gt;I390+G466,"",I390+G466-F466)</f>
        <v>1555533.3010259799</v>
      </c>
      <c r="J466" s="106" t="str">
        <f t="shared" ref="J466:J529" si="23">IF(I466="",F466-(I390+G466),"")</f>
        <v/>
      </c>
      <c r="K466" s="105"/>
    </row>
    <row r="467" spans="2:11" ht="12.95" customHeight="1" x14ac:dyDescent="0.25">
      <c r="B467" s="45" t="str">
        <f>VLOOKUP(C467,SintéticoNC!$F$4:$G$83,2,FALSE)</f>
        <v>Bancada do Espírito Santo</v>
      </c>
      <c r="C467" s="42" t="s">
        <v>146</v>
      </c>
      <c r="D467" s="23" t="s">
        <v>153</v>
      </c>
      <c r="E467" s="43" t="s">
        <v>11</v>
      </c>
      <c r="F467" s="50"/>
      <c r="G467" s="50">
        <f>I391*ÍndiceCorreçãoNC!$C$10</f>
        <v>0</v>
      </c>
      <c r="H467" s="50">
        <f t="shared" si="21"/>
        <v>0</v>
      </c>
      <c r="I467" s="50">
        <f t="shared" si="22"/>
        <v>1420853.1473770875</v>
      </c>
      <c r="J467" s="106" t="str">
        <f t="shared" si="23"/>
        <v/>
      </c>
      <c r="K467" s="105"/>
    </row>
    <row r="468" spans="2:11" ht="12.95" customHeight="1" x14ac:dyDescent="0.25">
      <c r="B468" s="45" t="str">
        <f>VLOOKUP(C468,SintéticoNC!$F$4:$G$83,2,FALSE)</f>
        <v>Bancada do Espírito Santo</v>
      </c>
      <c r="C468" s="42" t="s">
        <v>147</v>
      </c>
      <c r="D468" s="23" t="s">
        <v>153</v>
      </c>
      <c r="E468" s="43" t="s">
        <v>11</v>
      </c>
      <c r="F468" s="50"/>
      <c r="G468" s="50">
        <f>I392*ÍndiceCorreçãoNC!$C$10</f>
        <v>0</v>
      </c>
      <c r="H468" s="50">
        <f t="shared" si="21"/>
        <v>0</v>
      </c>
      <c r="I468" s="50">
        <f t="shared" si="22"/>
        <v>2260653.9135500002</v>
      </c>
      <c r="J468" s="106" t="str">
        <f t="shared" si="23"/>
        <v/>
      </c>
      <c r="K468" s="105"/>
    </row>
    <row r="469" spans="2:11" ht="12.95" customHeight="1" x14ac:dyDescent="0.25">
      <c r="B469" s="45" t="str">
        <f>VLOOKUP(C469,SintéticoNC!$F$4:$G$83,2,FALSE)</f>
        <v>Bancada do Espírito Santo</v>
      </c>
      <c r="C469" s="42" t="s">
        <v>148</v>
      </c>
      <c r="D469" s="23" t="s">
        <v>153</v>
      </c>
      <c r="E469" s="43" t="s">
        <v>11</v>
      </c>
      <c r="F469" s="50"/>
      <c r="G469" s="50">
        <f>I393*ÍndiceCorreçãoNC!$C$10</f>
        <v>0</v>
      </c>
      <c r="H469" s="50">
        <f t="shared" si="21"/>
        <v>0</v>
      </c>
      <c r="I469" s="50">
        <f t="shared" si="22"/>
        <v>2771189.1180799999</v>
      </c>
      <c r="J469" s="106" t="str">
        <f t="shared" si="23"/>
        <v/>
      </c>
      <c r="K469" s="105"/>
    </row>
    <row r="470" spans="2:11" ht="12.95" customHeight="1" x14ac:dyDescent="0.25">
      <c r="B470" s="45" t="str">
        <f>VLOOKUP(C470,SintéticoNC!$F$4:$G$83,2,FALSE)</f>
        <v>Bancada do Maranhão</v>
      </c>
      <c r="C470" s="42" t="s">
        <v>149</v>
      </c>
      <c r="D470" s="23" t="s">
        <v>153</v>
      </c>
      <c r="E470" s="43" t="s">
        <v>11</v>
      </c>
      <c r="F470" s="50"/>
      <c r="G470" s="50">
        <f>I394*ÍndiceCorreçãoNC!$C$10</f>
        <v>0</v>
      </c>
      <c r="H470" s="50">
        <f t="shared" si="21"/>
        <v>0</v>
      </c>
      <c r="I470" s="50">
        <f t="shared" si="22"/>
        <v>755229.59250000003</v>
      </c>
      <c r="J470" s="106" t="str">
        <f t="shared" si="23"/>
        <v/>
      </c>
      <c r="K470" s="105"/>
    </row>
    <row r="471" spans="2:11" ht="12.95" customHeight="1" x14ac:dyDescent="0.25">
      <c r="B471" s="45" t="str">
        <f>VLOOKUP(C471,SintéticoNC!$F$4:$G$83,2,FALSE)</f>
        <v>Bancada do Pará</v>
      </c>
      <c r="C471" s="42" t="s">
        <v>152</v>
      </c>
      <c r="D471" s="23" t="s">
        <v>153</v>
      </c>
      <c r="E471" s="43" t="s">
        <v>11</v>
      </c>
      <c r="F471" s="50"/>
      <c r="G471" s="50">
        <f>I395*ÍndiceCorreçãoNC!$C$10</f>
        <v>0</v>
      </c>
      <c r="H471" s="50">
        <f t="shared" si="21"/>
        <v>0</v>
      </c>
      <c r="I471" s="50">
        <f t="shared" si="22"/>
        <v>493416.66710000002</v>
      </c>
      <c r="J471" s="106" t="str">
        <f t="shared" si="23"/>
        <v/>
      </c>
      <c r="K471" s="105"/>
    </row>
    <row r="472" spans="2:11" ht="12.95" customHeight="1" x14ac:dyDescent="0.25">
      <c r="B472" s="45" t="str">
        <f>VLOOKUP(C472,SintéticoNC!$F$4:$G$83,2,FALSE)</f>
        <v>Bancada do Pará</v>
      </c>
      <c r="C472" s="42" t="s">
        <v>151</v>
      </c>
      <c r="D472" s="23" t="s">
        <v>153</v>
      </c>
      <c r="E472" s="43" t="s">
        <v>11</v>
      </c>
      <c r="F472" s="50"/>
      <c r="G472" s="50">
        <f>I396*ÍndiceCorreçãoNC!$C$10</f>
        <v>0</v>
      </c>
      <c r="H472" s="50">
        <f t="shared" si="21"/>
        <v>0</v>
      </c>
      <c r="I472" s="50">
        <f t="shared" si="22"/>
        <v>837197.17760599998</v>
      </c>
      <c r="J472" s="106" t="str">
        <f t="shared" si="23"/>
        <v/>
      </c>
      <c r="K472" s="105"/>
    </row>
    <row r="473" spans="2:11" ht="12.95" customHeight="1" x14ac:dyDescent="0.25">
      <c r="B473" s="45" t="str">
        <f>VLOOKUP(C473,SintéticoNC!$F$4:$G$83,2,FALSE)</f>
        <v>Cabo Junio Amaral</v>
      </c>
      <c r="C473" s="42" t="s">
        <v>150</v>
      </c>
      <c r="D473" s="23" t="s">
        <v>153</v>
      </c>
      <c r="E473" s="43" t="s">
        <v>11</v>
      </c>
      <c r="F473" s="50"/>
      <c r="G473" s="50">
        <f>I397*ÍndiceCorreçãoNC!$C$10</f>
        <v>0</v>
      </c>
      <c r="H473" s="50">
        <f t="shared" si="21"/>
        <v>0</v>
      </c>
      <c r="I473" s="50">
        <f t="shared" si="22"/>
        <v>208443.36752999999</v>
      </c>
      <c r="J473" s="106" t="str">
        <f t="shared" si="23"/>
        <v/>
      </c>
      <c r="K473" s="105"/>
    </row>
    <row r="474" spans="2:11" ht="12.95" customHeight="1" x14ac:dyDescent="0.25">
      <c r="B474" s="45" t="str">
        <f>VLOOKUP(C474,SintéticoNC!$F$4:$G$83,2,FALSE)</f>
        <v>Celso Sabino</v>
      </c>
      <c r="C474" s="42" t="s">
        <v>44</v>
      </c>
      <c r="D474" s="23" t="s">
        <v>153</v>
      </c>
      <c r="E474" s="43" t="s">
        <v>11</v>
      </c>
      <c r="F474" s="50"/>
      <c r="G474" s="50">
        <f>I398*ÍndiceCorreçãoNC!$C$10</f>
        <v>0</v>
      </c>
      <c r="H474" s="50">
        <f t="shared" si="21"/>
        <v>0</v>
      </c>
      <c r="I474" s="50">
        <f t="shared" si="22"/>
        <v>97875.449220310911</v>
      </c>
      <c r="J474" s="106" t="str">
        <f t="shared" si="23"/>
        <v/>
      </c>
      <c r="K474" s="105"/>
    </row>
    <row r="475" spans="2:11" ht="12.95" customHeight="1" x14ac:dyDescent="0.25">
      <c r="B475" s="45" t="str">
        <f>VLOOKUP(C475,SintéticoNC!$F$4:$G$83,2,FALSE)</f>
        <v>Coronel Chrisóstomo</v>
      </c>
      <c r="C475" s="42" t="s">
        <v>47</v>
      </c>
      <c r="D475" s="23" t="s">
        <v>153</v>
      </c>
      <c r="E475" s="43" t="s">
        <v>11</v>
      </c>
      <c r="F475" s="50"/>
      <c r="G475" s="50">
        <f>I399*ÍndiceCorreçãoNC!$C$10</f>
        <v>0</v>
      </c>
      <c r="H475" s="50">
        <f t="shared" si="21"/>
        <v>0</v>
      </c>
      <c r="I475" s="50">
        <f t="shared" si="22"/>
        <v>139465.73141499999</v>
      </c>
      <c r="J475" s="106" t="str">
        <f t="shared" si="23"/>
        <v/>
      </c>
      <c r="K475" s="105"/>
    </row>
    <row r="476" spans="2:11" ht="12.95" customHeight="1" x14ac:dyDescent="0.25">
      <c r="B476" s="45" t="str">
        <f>VLOOKUP(C476,SintéticoNC!$F$4:$G$83,2,FALSE)</f>
        <v>Dimas Fabiano</v>
      </c>
      <c r="C476" s="42" t="s">
        <v>50</v>
      </c>
      <c r="D476" s="23" t="s">
        <v>153</v>
      </c>
      <c r="E476" s="43" t="s">
        <v>11</v>
      </c>
      <c r="F476" s="50"/>
      <c r="G476" s="50">
        <f>I400*ÍndiceCorreçãoNC!$C$10</f>
        <v>0</v>
      </c>
      <c r="H476" s="50">
        <f t="shared" si="21"/>
        <v>0</v>
      </c>
      <c r="I476" s="50">
        <f t="shared" si="22"/>
        <v>208443.36752999999</v>
      </c>
      <c r="J476" s="106" t="str">
        <f t="shared" si="23"/>
        <v/>
      </c>
      <c r="K476" s="105"/>
    </row>
    <row r="477" spans="2:11" ht="12.95" customHeight="1" x14ac:dyDescent="0.25">
      <c r="B477" s="45" t="str">
        <f>VLOOKUP(C477,SintéticoNC!$F$4:$G$83,2,FALSE)</f>
        <v>Edna Henrique</v>
      </c>
      <c r="C477" s="42" t="s">
        <v>53</v>
      </c>
      <c r="D477" s="23" t="s">
        <v>153</v>
      </c>
      <c r="E477" s="43" t="s">
        <v>11</v>
      </c>
      <c r="F477" s="50"/>
      <c r="G477" s="50">
        <f>I401*ÍndiceCorreçãoNC!$C$10</f>
        <v>0</v>
      </c>
      <c r="H477" s="50">
        <f t="shared" si="21"/>
        <v>0</v>
      </c>
      <c r="I477" s="50">
        <f t="shared" si="22"/>
        <v>209450.34031999999</v>
      </c>
      <c r="J477" s="106" t="str">
        <f t="shared" si="23"/>
        <v/>
      </c>
      <c r="K477" s="105"/>
    </row>
    <row r="478" spans="2:11" ht="12.95" customHeight="1" x14ac:dyDescent="0.25">
      <c r="B478" s="45" t="str">
        <f>VLOOKUP(C478,SintéticoNC!$F$4:$G$83,2,FALSE)</f>
        <v>Elias Vaz</v>
      </c>
      <c r="C478" s="42" t="s">
        <v>56</v>
      </c>
      <c r="D478" s="23" t="s">
        <v>153</v>
      </c>
      <c r="E478" s="43" t="s">
        <v>11</v>
      </c>
      <c r="F478" s="50"/>
      <c r="G478" s="50">
        <f>I402*ÍndiceCorreçãoNC!$C$10</f>
        <v>0</v>
      </c>
      <c r="H478" s="50">
        <f t="shared" si="21"/>
        <v>0</v>
      </c>
      <c r="I478" s="50">
        <f t="shared" si="22"/>
        <v>402789.11599999998</v>
      </c>
      <c r="J478" s="106" t="str">
        <f t="shared" si="23"/>
        <v/>
      </c>
      <c r="K478" s="105"/>
    </row>
    <row r="479" spans="2:11" ht="12.95" customHeight="1" x14ac:dyDescent="0.25">
      <c r="B479" s="45" t="str">
        <f>VLOOKUP(C479,SintéticoNC!$F$4:$G$83,2,FALSE)</f>
        <v>Expedito Netto</v>
      </c>
      <c r="C479" s="42" t="s">
        <v>59</v>
      </c>
      <c r="D479" s="23" t="s">
        <v>153</v>
      </c>
      <c r="E479" s="43" t="s">
        <v>11</v>
      </c>
      <c r="F479" s="50"/>
      <c r="G479" s="50">
        <f>I403*ÍndiceCorreçãoNC!$C$10</f>
        <v>0</v>
      </c>
      <c r="H479" s="50">
        <f t="shared" si="21"/>
        <v>0</v>
      </c>
      <c r="I479" s="50">
        <f t="shared" si="22"/>
        <v>283300.95943927957</v>
      </c>
      <c r="J479" s="106" t="str">
        <f t="shared" si="23"/>
        <v/>
      </c>
      <c r="K479" s="105"/>
    </row>
    <row r="480" spans="2:11" ht="12.95" customHeight="1" x14ac:dyDescent="0.25">
      <c r="B480" s="45" t="str">
        <f>VLOOKUP(C480,SintéticoNC!$F$4:$G$83,2,FALSE)</f>
        <v>Fabio Reis</v>
      </c>
      <c r="C480" s="42" t="s">
        <v>62</v>
      </c>
      <c r="D480" s="23" t="s">
        <v>153</v>
      </c>
      <c r="E480" s="43" t="s">
        <v>11</v>
      </c>
      <c r="F480" s="50"/>
      <c r="G480" s="50">
        <f>I404*ÍndiceCorreçãoNC!$C$10</f>
        <v>0</v>
      </c>
      <c r="H480" s="50">
        <f t="shared" si="21"/>
        <v>0</v>
      </c>
      <c r="I480" s="50">
        <f t="shared" si="22"/>
        <v>82156.865781336295</v>
      </c>
      <c r="J480" s="106" t="str">
        <f t="shared" si="23"/>
        <v/>
      </c>
      <c r="K480" s="105"/>
    </row>
    <row r="481" spans="2:11" ht="12.95" customHeight="1" x14ac:dyDescent="0.25">
      <c r="B481" s="45" t="str">
        <f>VLOOKUP(C481,SintéticoNC!$F$4:$G$83,2,FALSE)</f>
        <v>Flavia Arruda</v>
      </c>
      <c r="C481" s="42" t="s">
        <v>65</v>
      </c>
      <c r="D481" s="23" t="s">
        <v>153</v>
      </c>
      <c r="E481" s="43" t="s">
        <v>11</v>
      </c>
      <c r="F481" s="50"/>
      <c r="G481" s="50">
        <f>I405*ÍndiceCorreçãoNC!$C$10</f>
        <v>0</v>
      </c>
      <c r="H481" s="50">
        <f t="shared" si="21"/>
        <v>0</v>
      </c>
      <c r="I481" s="50">
        <f t="shared" si="22"/>
        <v>887563.63045465504</v>
      </c>
      <c r="J481" s="106" t="str">
        <f t="shared" si="23"/>
        <v/>
      </c>
      <c r="K481" s="105"/>
    </row>
    <row r="482" spans="2:11" ht="12.95" customHeight="1" x14ac:dyDescent="0.25">
      <c r="B482" s="45" t="str">
        <f>VLOOKUP(C482,SintéticoNC!$F$4:$G$83,2,FALSE)</f>
        <v>Flaviano Melo</v>
      </c>
      <c r="C482" s="42" t="s">
        <v>68</v>
      </c>
      <c r="D482" s="23" t="s">
        <v>153</v>
      </c>
      <c r="E482" s="43" t="s">
        <v>11</v>
      </c>
      <c r="F482" s="50"/>
      <c r="G482" s="50">
        <f>I406*ÍndiceCorreçãoNC!$C$10</f>
        <v>0</v>
      </c>
      <c r="H482" s="50">
        <f t="shared" si="21"/>
        <v>0</v>
      </c>
      <c r="I482" s="50">
        <f t="shared" si="22"/>
        <v>506301.91106029582</v>
      </c>
      <c r="J482" s="106" t="str">
        <f t="shared" si="23"/>
        <v/>
      </c>
      <c r="K482" s="105"/>
    </row>
    <row r="483" spans="2:11" ht="12.95" customHeight="1" x14ac:dyDescent="0.25">
      <c r="B483" s="45" t="str">
        <f>VLOOKUP(C483,SintéticoNC!$F$4:$G$83,2,FALSE)</f>
        <v>General Girão</v>
      </c>
      <c r="C483" s="42" t="s">
        <v>71</v>
      </c>
      <c r="D483" s="23" t="s">
        <v>153</v>
      </c>
      <c r="E483" s="43" t="s">
        <v>11</v>
      </c>
      <c r="F483" s="50"/>
      <c r="G483" s="50">
        <f>I407*ÍndiceCorreçãoNC!$C$10</f>
        <v>0</v>
      </c>
      <c r="H483" s="50">
        <f t="shared" si="21"/>
        <v>0</v>
      </c>
      <c r="I483" s="50">
        <f t="shared" si="22"/>
        <v>208443.36752999999</v>
      </c>
      <c r="J483" s="106" t="str">
        <f t="shared" si="23"/>
        <v/>
      </c>
      <c r="K483" s="105"/>
    </row>
    <row r="484" spans="2:11" ht="12.95" customHeight="1" x14ac:dyDescent="0.25">
      <c r="B484" s="45" t="str">
        <f>VLOOKUP(C484,SintéticoNC!$F$4:$G$83,2,FALSE)</f>
        <v>João Roma</v>
      </c>
      <c r="C484" s="42" t="s">
        <v>74</v>
      </c>
      <c r="D484" s="23" t="s">
        <v>153</v>
      </c>
      <c r="E484" s="43" t="s">
        <v>11</v>
      </c>
      <c r="F484" s="50"/>
      <c r="G484" s="50">
        <f>I408*ÍndiceCorreçãoNC!$C$10</f>
        <v>0</v>
      </c>
      <c r="H484" s="50">
        <f t="shared" si="21"/>
        <v>0</v>
      </c>
      <c r="I484" s="50">
        <f t="shared" si="22"/>
        <v>72671.020983889903</v>
      </c>
      <c r="J484" s="106" t="str">
        <f t="shared" si="23"/>
        <v/>
      </c>
      <c r="K484" s="105"/>
    </row>
    <row r="485" spans="2:11" ht="12.95" customHeight="1" x14ac:dyDescent="0.25">
      <c r="B485" s="45" t="str">
        <f>VLOOKUP(C485,SintéticoNC!$F$4:$G$83,2,FALSE)</f>
        <v>Joenia Wapichana</v>
      </c>
      <c r="C485" s="42" t="s">
        <v>77</v>
      </c>
      <c r="D485" s="23" t="s">
        <v>153</v>
      </c>
      <c r="E485" s="43" t="s">
        <v>11</v>
      </c>
      <c r="F485" s="50"/>
      <c r="G485" s="50">
        <f>I409*ÍndiceCorreçãoNC!$C$10</f>
        <v>0</v>
      </c>
      <c r="H485" s="50">
        <f t="shared" si="21"/>
        <v>0</v>
      </c>
      <c r="I485" s="50">
        <f t="shared" si="22"/>
        <v>9161.8613719917994</v>
      </c>
      <c r="J485" s="106" t="str">
        <f t="shared" si="23"/>
        <v/>
      </c>
      <c r="K485" s="105"/>
    </row>
    <row r="486" spans="2:11" ht="12.95" customHeight="1" x14ac:dyDescent="0.25">
      <c r="B486" s="45" t="str">
        <f>VLOOKUP(C486,SintéticoNC!$F$4:$G$83,2,FALSE)</f>
        <v>José Nunes</v>
      </c>
      <c r="C486" s="42" t="s">
        <v>80</v>
      </c>
      <c r="D486" s="23" t="s">
        <v>153</v>
      </c>
      <c r="E486" s="43" t="s">
        <v>11</v>
      </c>
      <c r="F486" s="50"/>
      <c r="G486" s="50">
        <f>I410*ÍndiceCorreçãoNC!$C$10</f>
        <v>0</v>
      </c>
      <c r="H486" s="50">
        <f t="shared" si="21"/>
        <v>0</v>
      </c>
      <c r="I486" s="50">
        <f t="shared" si="22"/>
        <v>208443.36752999999</v>
      </c>
      <c r="J486" s="106" t="str">
        <f t="shared" si="23"/>
        <v/>
      </c>
      <c r="K486" s="105"/>
    </row>
    <row r="487" spans="2:11" ht="12.95" customHeight="1" x14ac:dyDescent="0.25">
      <c r="B487" s="45" t="str">
        <f>VLOOKUP(C487,SintéticoNC!$F$4:$G$83,2,FALSE)</f>
        <v>Josivaldo JP</v>
      </c>
      <c r="C487" s="42" t="s">
        <v>83</v>
      </c>
      <c r="D487" s="23" t="s">
        <v>153</v>
      </c>
      <c r="E487" s="43" t="s">
        <v>11</v>
      </c>
      <c r="F487" s="50"/>
      <c r="G487" s="50">
        <f>I411*ÍndiceCorreçãoNC!$C$10</f>
        <v>0</v>
      </c>
      <c r="H487" s="50">
        <f t="shared" si="21"/>
        <v>0</v>
      </c>
      <c r="I487" s="50">
        <f t="shared" si="22"/>
        <v>102711.22457999999</v>
      </c>
      <c r="J487" s="106" t="str">
        <f t="shared" si="23"/>
        <v/>
      </c>
      <c r="K487" s="105"/>
    </row>
    <row r="488" spans="2:11" ht="12.95" customHeight="1" x14ac:dyDescent="0.25">
      <c r="B488" s="45" t="str">
        <f>VLOOKUP(C488,SintéticoNC!$F$4:$G$83,2,FALSE)</f>
        <v>Junior Lourenço</v>
      </c>
      <c r="C488" s="42" t="s">
        <v>86</v>
      </c>
      <c r="D488" s="23" t="s">
        <v>153</v>
      </c>
      <c r="E488" s="43" t="s">
        <v>11</v>
      </c>
      <c r="F488" s="50"/>
      <c r="G488" s="50">
        <f>I412*ÍndiceCorreçãoNC!$C$10</f>
        <v>0</v>
      </c>
      <c r="H488" s="50">
        <f t="shared" si="21"/>
        <v>0</v>
      </c>
      <c r="I488" s="50">
        <f t="shared" si="22"/>
        <v>347405.61255000002</v>
      </c>
      <c r="J488" s="106" t="str">
        <f t="shared" si="23"/>
        <v/>
      </c>
      <c r="K488" s="105"/>
    </row>
    <row r="489" spans="2:11" ht="12.95" customHeight="1" x14ac:dyDescent="0.25">
      <c r="B489" s="45" t="str">
        <f>VLOOKUP(C489,SintéticoNC!$F$4:$G$83,2,FALSE)</f>
        <v>Leo de Brito</v>
      </c>
      <c r="C489" s="42" t="s">
        <v>89</v>
      </c>
      <c r="D489" s="23" t="s">
        <v>153</v>
      </c>
      <c r="E489" s="43" t="s">
        <v>11</v>
      </c>
      <c r="F489" s="50"/>
      <c r="G489" s="50">
        <f>I413*ÍndiceCorreçãoNC!$C$10</f>
        <v>0</v>
      </c>
      <c r="H489" s="50">
        <f t="shared" si="21"/>
        <v>0</v>
      </c>
      <c r="I489" s="50">
        <f t="shared" si="22"/>
        <v>432998.29969999997</v>
      </c>
      <c r="J489" s="106" t="str">
        <f t="shared" si="23"/>
        <v/>
      </c>
      <c r="K489" s="105"/>
    </row>
    <row r="490" spans="2:11" ht="12.95" customHeight="1" x14ac:dyDescent="0.25">
      <c r="B490" s="45" t="str">
        <f>VLOOKUP(C490,SintéticoNC!$F$4:$G$83,2,FALSE)</f>
        <v>Leur Lomanto</v>
      </c>
      <c r="C490" s="42" t="s">
        <v>92</v>
      </c>
      <c r="D490" s="23" t="s">
        <v>153</v>
      </c>
      <c r="E490" s="43" t="s">
        <v>11</v>
      </c>
      <c r="F490" s="50"/>
      <c r="G490" s="50">
        <f>I414*ÍndiceCorreçãoNC!$C$10</f>
        <v>0</v>
      </c>
      <c r="H490" s="50">
        <f t="shared" si="21"/>
        <v>0</v>
      </c>
      <c r="I490" s="50">
        <f t="shared" si="22"/>
        <v>66563.217456416998</v>
      </c>
      <c r="J490" s="106" t="str">
        <f t="shared" si="23"/>
        <v/>
      </c>
      <c r="K490" s="105"/>
    </row>
    <row r="491" spans="2:11" ht="12.95" customHeight="1" x14ac:dyDescent="0.25">
      <c r="B491" s="45" t="str">
        <f>VLOOKUP(C491,SintéticoNC!$F$4:$G$83,2,FALSE)</f>
        <v>Luciano Bivar</v>
      </c>
      <c r="C491" s="42" t="s">
        <v>95</v>
      </c>
      <c r="D491" s="23" t="s">
        <v>153</v>
      </c>
      <c r="E491" s="43" t="s">
        <v>11</v>
      </c>
      <c r="F491" s="50"/>
      <c r="G491" s="50">
        <f>I415*ÍndiceCorreçãoNC!$C$10</f>
        <v>0</v>
      </c>
      <c r="H491" s="50">
        <f t="shared" si="21"/>
        <v>0</v>
      </c>
      <c r="I491" s="50">
        <f t="shared" si="22"/>
        <v>2492.2979341616001</v>
      </c>
      <c r="J491" s="106" t="str">
        <f t="shared" si="23"/>
        <v/>
      </c>
      <c r="K491" s="105"/>
    </row>
    <row r="492" spans="2:11" ht="12.95" customHeight="1" x14ac:dyDescent="0.25">
      <c r="B492" s="45" t="str">
        <f>VLOOKUP(C492,SintéticoNC!$F$4:$G$83,2,FALSE)</f>
        <v>Luis Tibé</v>
      </c>
      <c r="C492" s="42" t="s">
        <v>98</v>
      </c>
      <c r="D492" s="23" t="s">
        <v>153</v>
      </c>
      <c r="E492" s="43" t="s">
        <v>11</v>
      </c>
      <c r="F492" s="50"/>
      <c r="G492" s="50">
        <f>I416*ÍndiceCorreçãoNC!$C$10</f>
        <v>0</v>
      </c>
      <c r="H492" s="50">
        <f t="shared" si="21"/>
        <v>0</v>
      </c>
      <c r="I492" s="50">
        <f t="shared" si="22"/>
        <v>208443.36752999999</v>
      </c>
      <c r="J492" s="106" t="str">
        <f t="shared" si="23"/>
        <v/>
      </c>
      <c r="K492" s="105"/>
    </row>
    <row r="493" spans="2:11" ht="12.95" customHeight="1" x14ac:dyDescent="0.25">
      <c r="B493" s="45" t="str">
        <f>VLOOKUP(C493,SintéticoNC!$F$4:$G$83,2,FALSE)</f>
        <v>Mara Rocha</v>
      </c>
      <c r="C493" s="42" t="s">
        <v>101</v>
      </c>
      <c r="D493" s="23" t="s">
        <v>153</v>
      </c>
      <c r="E493" s="43" t="s">
        <v>11</v>
      </c>
      <c r="F493" s="50"/>
      <c r="G493" s="50">
        <f>I417*ÍndiceCorreçãoNC!$C$10</f>
        <v>0</v>
      </c>
      <c r="H493" s="50">
        <f t="shared" si="21"/>
        <v>0</v>
      </c>
      <c r="I493" s="50">
        <f t="shared" si="22"/>
        <v>411222.61381352897</v>
      </c>
      <c r="J493" s="106" t="str">
        <f t="shared" si="23"/>
        <v/>
      </c>
      <c r="K493" s="105"/>
    </row>
    <row r="494" spans="2:11" ht="12.95" customHeight="1" x14ac:dyDescent="0.25">
      <c r="B494" s="45" t="str">
        <f>VLOOKUP(C494,SintéticoNC!$F$4:$G$83,2,FALSE)</f>
        <v>Marx Beltrão</v>
      </c>
      <c r="C494" s="42" t="s">
        <v>104</v>
      </c>
      <c r="D494" s="23" t="s">
        <v>153</v>
      </c>
      <c r="E494" s="43" t="s">
        <v>11</v>
      </c>
      <c r="F494" s="50"/>
      <c r="G494" s="50">
        <f>I418*ÍndiceCorreçãoNC!$C$10</f>
        <v>0</v>
      </c>
      <c r="H494" s="50">
        <f t="shared" si="21"/>
        <v>0</v>
      </c>
      <c r="I494" s="50">
        <f t="shared" si="22"/>
        <v>208443.36752999999</v>
      </c>
      <c r="J494" s="106" t="str">
        <f t="shared" si="23"/>
        <v/>
      </c>
      <c r="K494" s="105"/>
    </row>
    <row r="495" spans="2:11" ht="12.95" customHeight="1" x14ac:dyDescent="0.25">
      <c r="B495" s="45" t="str">
        <f>VLOOKUP(C495,SintéticoNC!$F$4:$G$83,2,FALSE)</f>
        <v>Ministério das Comunicações</v>
      </c>
      <c r="C495" s="42" t="s">
        <v>107</v>
      </c>
      <c r="D495" s="23" t="s">
        <v>153</v>
      </c>
      <c r="E495" s="43" t="s">
        <v>11</v>
      </c>
      <c r="F495" s="50"/>
      <c r="G495" s="50">
        <f>I419*ÍndiceCorreçãoNC!$C$10</f>
        <v>0</v>
      </c>
      <c r="H495" s="50">
        <f t="shared" si="21"/>
        <v>0</v>
      </c>
      <c r="I495" s="50">
        <f t="shared" si="22"/>
        <v>15499755.251688881</v>
      </c>
      <c r="J495" s="106" t="str">
        <f t="shared" si="23"/>
        <v/>
      </c>
      <c r="K495" s="105"/>
    </row>
    <row r="496" spans="2:11" ht="12.95" customHeight="1" x14ac:dyDescent="0.25">
      <c r="B496" s="45" t="str">
        <f>VLOOKUP(C496,SintéticoNC!$F$4:$G$83,2,FALSE)</f>
        <v>Ministério das Comunicações</v>
      </c>
      <c r="C496" s="42" t="s">
        <v>109</v>
      </c>
      <c r="D496" s="23" t="s">
        <v>153</v>
      </c>
      <c r="E496" s="43" t="s">
        <v>11</v>
      </c>
      <c r="F496" s="50"/>
      <c r="G496" s="50">
        <f>I420*ÍndiceCorreçãoNC!$C$10</f>
        <v>0</v>
      </c>
      <c r="H496" s="50">
        <f t="shared" si="21"/>
        <v>0</v>
      </c>
      <c r="I496" s="50">
        <f t="shared" si="22"/>
        <v>3713715.64952</v>
      </c>
      <c r="J496" s="106" t="str">
        <f t="shared" si="23"/>
        <v/>
      </c>
      <c r="K496" s="105"/>
    </row>
    <row r="497" spans="2:11" ht="12.95" customHeight="1" x14ac:dyDescent="0.25">
      <c r="B497" s="45" t="str">
        <f>VLOOKUP(C497,SintéticoNC!$F$4:$G$83,2,FALSE)</f>
        <v>Ministério das Comunicações</v>
      </c>
      <c r="C497" s="42" t="s">
        <v>111</v>
      </c>
      <c r="D497" s="23" t="s">
        <v>153</v>
      </c>
      <c r="E497" s="43" t="s">
        <v>11</v>
      </c>
      <c r="F497" s="50"/>
      <c r="G497" s="50">
        <f>I421*ÍndiceCorreçãoNC!$C$10</f>
        <v>0</v>
      </c>
      <c r="H497" s="50">
        <f t="shared" si="21"/>
        <v>0</v>
      </c>
      <c r="I497" s="50">
        <f t="shared" si="22"/>
        <v>10069727.9</v>
      </c>
      <c r="J497" s="106" t="str">
        <f t="shared" si="23"/>
        <v/>
      </c>
      <c r="K497" s="105"/>
    </row>
    <row r="498" spans="2:11" ht="12.95" customHeight="1" x14ac:dyDescent="0.25">
      <c r="B498" s="45" t="str">
        <f>VLOOKUP(C498,SintéticoNC!$F$4:$G$83,2,FALSE)</f>
        <v>Ministério da Educação</v>
      </c>
      <c r="C498" s="42" t="s">
        <v>114</v>
      </c>
      <c r="D498" s="23" t="s">
        <v>153</v>
      </c>
      <c r="E498" s="43" t="s">
        <v>11</v>
      </c>
      <c r="F498" s="50"/>
      <c r="G498" s="50">
        <f>I422*ÍndiceCorreçãoNC!$C$10</f>
        <v>0</v>
      </c>
      <c r="H498" s="50">
        <f t="shared" si="21"/>
        <v>0</v>
      </c>
      <c r="I498" s="50">
        <f t="shared" si="22"/>
        <v>16980781.538382418</v>
      </c>
      <c r="J498" s="106" t="str">
        <f t="shared" si="23"/>
        <v/>
      </c>
      <c r="K498" s="105"/>
    </row>
    <row r="499" spans="2:11" ht="12.95" customHeight="1" x14ac:dyDescent="0.25">
      <c r="B499" s="45" t="str">
        <f>VLOOKUP(C499,SintéticoNC!$F$4:$G$83,2,FALSE)</f>
        <v>Ministério da Educação</v>
      </c>
      <c r="C499" s="42" t="s">
        <v>116</v>
      </c>
      <c r="D499" s="23" t="s">
        <v>153</v>
      </c>
      <c r="E499" s="43" t="s">
        <v>11</v>
      </c>
      <c r="F499" s="50"/>
      <c r="G499" s="50">
        <f>I423*ÍndiceCorreçãoNC!$C$10</f>
        <v>0</v>
      </c>
      <c r="H499" s="50">
        <f t="shared" si="21"/>
        <v>0</v>
      </c>
      <c r="I499" s="50">
        <f t="shared" si="22"/>
        <v>3706666.8399899998</v>
      </c>
      <c r="J499" s="106" t="str">
        <f t="shared" si="23"/>
        <v/>
      </c>
      <c r="K499" s="105"/>
    </row>
    <row r="500" spans="2:11" ht="12.95" customHeight="1" x14ac:dyDescent="0.25">
      <c r="B500" s="45" t="str">
        <f>VLOOKUP(C500,SintéticoNC!$F$4:$G$83,2,FALSE)</f>
        <v>Ministério da Justiça</v>
      </c>
      <c r="C500" s="42" t="s">
        <v>119</v>
      </c>
      <c r="D500" s="23" t="s">
        <v>153</v>
      </c>
      <c r="E500" s="43" t="s">
        <v>11</v>
      </c>
      <c r="F500" s="50"/>
      <c r="G500" s="50">
        <f>I424*ÍndiceCorreçãoNC!$C$10</f>
        <v>0</v>
      </c>
      <c r="H500" s="50">
        <f t="shared" si="21"/>
        <v>0</v>
      </c>
      <c r="I500" s="50">
        <f t="shared" si="22"/>
        <v>630294.98193109501</v>
      </c>
      <c r="J500" s="106" t="str">
        <f t="shared" si="23"/>
        <v/>
      </c>
      <c r="K500" s="105"/>
    </row>
    <row r="501" spans="2:11" ht="12.95" customHeight="1" x14ac:dyDescent="0.25">
      <c r="B501" s="45" t="str">
        <f>VLOOKUP(C501,SintéticoNC!$F$4:$G$83,2,FALSE)</f>
        <v>Ministério do Meio Ambiente</v>
      </c>
      <c r="C501" s="42" t="s">
        <v>122</v>
      </c>
      <c r="D501" s="23" t="s">
        <v>153</v>
      </c>
      <c r="E501" s="43" t="s">
        <v>11</v>
      </c>
      <c r="F501" s="50"/>
      <c r="G501" s="50">
        <f>I425*ÍndiceCorreçãoNC!$C$10</f>
        <v>0</v>
      </c>
      <c r="H501" s="50">
        <f t="shared" si="21"/>
        <v>0</v>
      </c>
      <c r="I501" s="50">
        <f t="shared" si="22"/>
        <v>108551.66676199999</v>
      </c>
      <c r="J501" s="106" t="str">
        <f t="shared" si="23"/>
        <v/>
      </c>
      <c r="K501" s="105"/>
    </row>
    <row r="502" spans="2:11" ht="12.95" customHeight="1" x14ac:dyDescent="0.25">
      <c r="B502" s="45" t="str">
        <f>VLOOKUP(C502,SintéticoNC!$F$4:$G$83,2,FALSE)</f>
        <v>Perpétua Almeida</v>
      </c>
      <c r="C502" s="42" t="s">
        <v>125</v>
      </c>
      <c r="D502" s="23" t="s">
        <v>153</v>
      </c>
      <c r="E502" s="43" t="s">
        <v>11</v>
      </c>
      <c r="F502" s="50"/>
      <c r="G502" s="50">
        <f>I426*ÍndiceCorreçãoNC!$C$10</f>
        <v>0</v>
      </c>
      <c r="H502" s="50">
        <f t="shared" si="21"/>
        <v>0</v>
      </c>
      <c r="I502" s="50">
        <f t="shared" si="22"/>
        <v>416886.73505999998</v>
      </c>
      <c r="J502" s="106" t="str">
        <f t="shared" si="23"/>
        <v/>
      </c>
      <c r="K502" s="105"/>
    </row>
    <row r="503" spans="2:11" ht="12.95" customHeight="1" x14ac:dyDescent="0.25">
      <c r="B503" s="45" t="str">
        <f>VLOOKUP(C503,SintéticoNC!$F$4:$G$83,2,FALSE)</f>
        <v>PRF RO</v>
      </c>
      <c r="C503" s="42" t="s">
        <v>128</v>
      </c>
      <c r="D503" s="23" t="s">
        <v>153</v>
      </c>
      <c r="E503" s="43" t="s">
        <v>11</v>
      </c>
      <c r="F503" s="50"/>
      <c r="G503" s="50">
        <f>I427*ÍndiceCorreçãoNC!$C$10</f>
        <v>0</v>
      </c>
      <c r="H503" s="50">
        <f t="shared" si="21"/>
        <v>0</v>
      </c>
      <c r="I503" s="50">
        <f t="shared" si="22"/>
        <v>46723.537455999998</v>
      </c>
      <c r="J503" s="106" t="str">
        <f t="shared" si="23"/>
        <v/>
      </c>
      <c r="K503" s="105"/>
    </row>
    <row r="504" spans="2:11" ht="12.95" customHeight="1" x14ac:dyDescent="0.25">
      <c r="B504" s="45" t="str">
        <f>VLOOKUP(C504,SintéticoNC!$F$4:$G$83,2,FALSE)</f>
        <v>Senador Confúcio Moura</v>
      </c>
      <c r="C504" s="42" t="s">
        <v>131</v>
      </c>
      <c r="D504" s="23" t="s">
        <v>153</v>
      </c>
      <c r="E504" s="43" t="s">
        <v>11</v>
      </c>
      <c r="F504" s="50"/>
      <c r="G504" s="50">
        <f>I428*ÍndiceCorreçãoNC!$C$10</f>
        <v>0</v>
      </c>
      <c r="H504" s="50">
        <f t="shared" si="21"/>
        <v>0</v>
      </c>
      <c r="I504" s="50">
        <f t="shared" si="22"/>
        <v>345423.16507887124</v>
      </c>
      <c r="J504" s="106" t="str">
        <f t="shared" si="23"/>
        <v/>
      </c>
      <c r="K504" s="105"/>
    </row>
    <row r="505" spans="2:11" ht="12.95" customHeight="1" x14ac:dyDescent="0.25">
      <c r="B505" s="45" t="str">
        <f>VLOOKUP(C505,SintéticoNC!$F$4:$G$83,2,FALSE)</f>
        <v>Sérgio Petecão</v>
      </c>
      <c r="C505" s="42" t="s">
        <v>134</v>
      </c>
      <c r="D505" s="23" t="s">
        <v>153</v>
      </c>
      <c r="E505" s="43" t="s">
        <v>11</v>
      </c>
      <c r="F505" s="50"/>
      <c r="G505" s="50">
        <f>I429*ÍndiceCorreçãoNC!$C$10</f>
        <v>0</v>
      </c>
      <c r="H505" s="50">
        <f t="shared" si="21"/>
        <v>0</v>
      </c>
      <c r="I505" s="50">
        <f t="shared" si="22"/>
        <v>286973.14753094001</v>
      </c>
      <c r="J505" s="106" t="str">
        <f t="shared" si="23"/>
        <v/>
      </c>
      <c r="K505" s="105"/>
    </row>
    <row r="506" spans="2:11" ht="12.95" customHeight="1" x14ac:dyDescent="0.25">
      <c r="B506" s="45" t="str">
        <f>VLOOKUP(C506,SintéticoNC!$F$4:$G$83,2,FALSE)</f>
        <v>Soraya Thronicke</v>
      </c>
      <c r="C506" s="42" t="s">
        <v>137</v>
      </c>
      <c r="D506" s="23" t="s">
        <v>153</v>
      </c>
      <c r="E506" s="43" t="s">
        <v>11</v>
      </c>
      <c r="F506" s="50"/>
      <c r="G506" s="50">
        <f>I430*ÍndiceCorreçãoNC!$C$10</f>
        <v>0</v>
      </c>
      <c r="H506" s="50">
        <f t="shared" si="21"/>
        <v>0</v>
      </c>
      <c r="I506" s="50">
        <f t="shared" si="22"/>
        <v>347405.61255000002</v>
      </c>
      <c r="J506" s="106" t="str">
        <f t="shared" si="23"/>
        <v/>
      </c>
      <c r="K506" s="105"/>
    </row>
    <row r="507" spans="2:11" ht="12.95" customHeight="1" x14ac:dyDescent="0.25">
      <c r="B507" s="45" t="str">
        <f>VLOOKUP(C507,SintéticoNC!$F$4:$G$83,2,FALSE)</f>
        <v>Uldurico Junior</v>
      </c>
      <c r="C507" s="42" t="s">
        <v>140</v>
      </c>
      <c r="D507" s="23" t="s">
        <v>153</v>
      </c>
      <c r="E507" s="43" t="s">
        <v>11</v>
      </c>
      <c r="F507" s="50"/>
      <c r="G507" s="50">
        <f>I431*ÍndiceCorreçãoNC!$C$10</f>
        <v>0</v>
      </c>
      <c r="H507" s="50">
        <f t="shared" si="21"/>
        <v>0</v>
      </c>
      <c r="I507" s="50">
        <f t="shared" si="22"/>
        <v>311154.59211000003</v>
      </c>
      <c r="J507" s="106" t="str">
        <f t="shared" si="23"/>
        <v/>
      </c>
      <c r="K507" s="105"/>
    </row>
    <row r="508" spans="2:11" ht="12.95" customHeight="1" x14ac:dyDescent="0.25">
      <c r="B508" s="45" t="str">
        <f>VLOOKUP(C508,SintéticoNC!$F$4:$G$83,2,FALSE)</f>
        <v>Bancada de Alagoas</v>
      </c>
      <c r="C508" s="42" t="s">
        <v>156</v>
      </c>
      <c r="D508" s="23" t="s">
        <v>216</v>
      </c>
      <c r="E508" s="43" t="s">
        <v>11</v>
      </c>
      <c r="F508" s="50"/>
      <c r="G508" s="50">
        <f>I432*ÍndiceCorreçãoNC!$C$10</f>
        <v>0</v>
      </c>
      <c r="H508" s="50">
        <f t="shared" si="21"/>
        <v>0</v>
      </c>
      <c r="I508" s="50">
        <f t="shared" si="22"/>
        <v>612239.45632</v>
      </c>
      <c r="J508" s="106" t="str">
        <f t="shared" si="23"/>
        <v/>
      </c>
      <c r="K508" s="105"/>
    </row>
    <row r="509" spans="2:11" ht="12.95" customHeight="1" x14ac:dyDescent="0.25">
      <c r="B509" s="45" t="str">
        <f>VLOOKUP(C509,SintéticoNC!$F$4:$G$83,2,FALSE)</f>
        <v>Bancada de Alagoas</v>
      </c>
      <c r="C509" s="42" t="s">
        <v>158</v>
      </c>
      <c r="D509" s="23" t="s">
        <v>216</v>
      </c>
      <c r="E509" s="43" t="s">
        <v>11</v>
      </c>
      <c r="F509" s="50"/>
      <c r="G509" s="50">
        <f>I433*ÍndiceCorreçãoNC!$C$10</f>
        <v>0</v>
      </c>
      <c r="H509" s="50">
        <f t="shared" si="21"/>
        <v>0</v>
      </c>
      <c r="I509" s="50">
        <f t="shared" si="22"/>
        <v>176220.23824999999</v>
      </c>
      <c r="J509" s="106" t="str">
        <f t="shared" si="23"/>
        <v/>
      </c>
      <c r="K509" s="105"/>
    </row>
    <row r="510" spans="2:11" ht="12.95" customHeight="1" x14ac:dyDescent="0.25">
      <c r="B510" s="45" t="str">
        <f>VLOOKUP(C510,SintéticoNC!$F$4:$G$83,2,FALSE)</f>
        <v>Bancada de Alagoas</v>
      </c>
      <c r="C510" s="42" t="s">
        <v>160</v>
      </c>
      <c r="D510" s="23" t="s">
        <v>216</v>
      </c>
      <c r="E510" s="43" t="s">
        <v>11</v>
      </c>
      <c r="F510" s="50"/>
      <c r="G510" s="50">
        <f>I434*ÍndiceCorreçãoNC!$C$10</f>
        <v>0</v>
      </c>
      <c r="H510" s="50">
        <f t="shared" si="21"/>
        <v>0</v>
      </c>
      <c r="I510" s="50">
        <f t="shared" si="22"/>
        <v>755229.59250000003</v>
      </c>
      <c r="J510" s="106" t="str">
        <f t="shared" si="23"/>
        <v/>
      </c>
      <c r="K510" s="105"/>
    </row>
    <row r="511" spans="2:11" ht="12.95" customHeight="1" x14ac:dyDescent="0.25">
      <c r="B511" s="45" t="str">
        <f>VLOOKUP(C511,SintéticoNC!$F$4:$G$83,2,FALSE)</f>
        <v>Bancada de Minas Gerais</v>
      </c>
      <c r="C511" s="42" t="s">
        <v>162</v>
      </c>
      <c r="D511" s="23" t="s">
        <v>216</v>
      </c>
      <c r="E511" s="43" t="s">
        <v>11</v>
      </c>
      <c r="F511" s="50"/>
      <c r="G511" s="50">
        <f>I435*ÍndiceCorreçãoNC!$C$10</f>
        <v>0</v>
      </c>
      <c r="H511" s="50">
        <f t="shared" si="21"/>
        <v>0</v>
      </c>
      <c r="I511" s="50">
        <f t="shared" si="22"/>
        <v>5236258.5080000004</v>
      </c>
      <c r="J511" s="106" t="str">
        <f t="shared" si="23"/>
        <v/>
      </c>
      <c r="K511" s="105"/>
    </row>
    <row r="512" spans="2:11" ht="12.95" customHeight="1" x14ac:dyDescent="0.25">
      <c r="B512" s="45" t="str">
        <f>VLOOKUP(C512,SintéticoNC!$F$4:$G$83,2,FALSE)</f>
        <v>Bancada de São Paulo</v>
      </c>
      <c r="C512" s="42" t="s">
        <v>164</v>
      </c>
      <c r="D512" s="23" t="s">
        <v>216</v>
      </c>
      <c r="E512" s="43" t="s">
        <v>11</v>
      </c>
      <c r="F512" s="50"/>
      <c r="G512" s="50">
        <f>I436*ÍndiceCorreçãoNC!$C$10</f>
        <v>0</v>
      </c>
      <c r="H512" s="50">
        <f t="shared" si="21"/>
        <v>0</v>
      </c>
      <c r="I512" s="50">
        <f t="shared" si="22"/>
        <v>700128.04143119999</v>
      </c>
      <c r="J512" s="106" t="str">
        <f t="shared" si="23"/>
        <v/>
      </c>
      <c r="K512" s="105"/>
    </row>
    <row r="513" spans="2:11" ht="12.95" customHeight="1" x14ac:dyDescent="0.25">
      <c r="B513" s="45" t="str">
        <f>VLOOKUP(C513,SintéticoNC!$F$4:$G$83,2,FALSE)</f>
        <v>Bancada do Espírito Santo</v>
      </c>
      <c r="C513" s="42" t="s">
        <v>166</v>
      </c>
      <c r="D513" s="23" t="s">
        <v>216</v>
      </c>
      <c r="E513" s="43" t="s">
        <v>11</v>
      </c>
      <c r="F513" s="50"/>
      <c r="G513" s="50">
        <f>I437*ÍndiceCorreçãoNC!$C$10</f>
        <v>0</v>
      </c>
      <c r="H513" s="50">
        <f t="shared" si="21"/>
        <v>0</v>
      </c>
      <c r="I513" s="50">
        <f t="shared" si="22"/>
        <v>788459.69457000005</v>
      </c>
      <c r="J513" s="106" t="str">
        <f t="shared" si="23"/>
        <v/>
      </c>
      <c r="K513" s="105"/>
    </row>
    <row r="514" spans="2:11" ht="12.95" customHeight="1" x14ac:dyDescent="0.25">
      <c r="B514" s="45" t="str">
        <f>VLOOKUP(C514,SintéticoNC!$F$4:$G$83,2,FALSE)</f>
        <v>Bancada do Espírito Santo</v>
      </c>
      <c r="C514" s="42" t="s">
        <v>168</v>
      </c>
      <c r="D514" s="23" t="s">
        <v>216</v>
      </c>
      <c r="E514" s="43" t="s">
        <v>11</v>
      </c>
      <c r="F514" s="50"/>
      <c r="G514" s="50">
        <f>I438*ÍndiceCorreçãoNC!$C$10</f>
        <v>0</v>
      </c>
      <c r="H514" s="50">
        <f t="shared" si="21"/>
        <v>0</v>
      </c>
      <c r="I514" s="50">
        <f t="shared" si="22"/>
        <v>846012.20733993209</v>
      </c>
      <c r="J514" s="106" t="str">
        <f t="shared" si="23"/>
        <v/>
      </c>
      <c r="K514" s="105"/>
    </row>
    <row r="515" spans="2:11" ht="12.95" customHeight="1" x14ac:dyDescent="0.25">
      <c r="B515" s="45" t="str">
        <f>VLOOKUP(C515,SintéticoNC!$F$4:$G$83,2,FALSE)</f>
        <v>Bancada do Pará</v>
      </c>
      <c r="C515" s="42" t="s">
        <v>170</v>
      </c>
      <c r="D515" s="23" t="s">
        <v>216</v>
      </c>
      <c r="E515" s="43" t="s">
        <v>11</v>
      </c>
      <c r="F515" s="50"/>
      <c r="G515" s="50">
        <f>I439*ÍndiceCorreçãoNC!$C$10</f>
        <v>0</v>
      </c>
      <c r="H515" s="50">
        <f t="shared" si="21"/>
        <v>0</v>
      </c>
      <c r="I515" s="50">
        <f t="shared" si="22"/>
        <v>185282.99335999999</v>
      </c>
      <c r="J515" s="106" t="str">
        <f t="shared" si="23"/>
        <v/>
      </c>
      <c r="K515" s="105"/>
    </row>
    <row r="516" spans="2:11" ht="12.95" customHeight="1" x14ac:dyDescent="0.25">
      <c r="B516" s="45" t="str">
        <f>VLOOKUP(C516,SintéticoNC!$F$4:$G$83,2,FALSE)</f>
        <v>Bancada do Pará</v>
      </c>
      <c r="C516" s="42" t="s">
        <v>172</v>
      </c>
      <c r="D516" s="23" t="s">
        <v>216</v>
      </c>
      <c r="E516" s="43" t="s">
        <v>11</v>
      </c>
      <c r="F516" s="50"/>
      <c r="G516" s="50">
        <f>I440*ÍndiceCorreçãoNC!$C$10</f>
        <v>0</v>
      </c>
      <c r="H516" s="50">
        <f t="shared" si="21"/>
        <v>0</v>
      </c>
      <c r="I516" s="50">
        <f t="shared" si="22"/>
        <v>314598.4390518</v>
      </c>
      <c r="J516" s="106" t="str">
        <f t="shared" si="23"/>
        <v/>
      </c>
      <c r="K516" s="105"/>
    </row>
    <row r="517" spans="2:11" ht="12.95" customHeight="1" x14ac:dyDescent="0.25">
      <c r="B517" s="45" t="str">
        <f>VLOOKUP(C517,SintéticoNC!$F$4:$G$83,2,FALSE)</f>
        <v>Coronel Chrisóstomo</v>
      </c>
      <c r="C517" s="42" t="s">
        <v>174</v>
      </c>
      <c r="D517" s="23" t="s">
        <v>216</v>
      </c>
      <c r="E517" s="43" t="s">
        <v>11</v>
      </c>
      <c r="F517" s="50"/>
      <c r="G517" s="50">
        <f>I441*ÍndiceCorreçãoNC!$C$10</f>
        <v>0</v>
      </c>
      <c r="H517" s="50">
        <f t="shared" si="21"/>
        <v>0</v>
      </c>
      <c r="I517" s="50">
        <f t="shared" si="22"/>
        <v>61928.826585000003</v>
      </c>
      <c r="J517" s="106" t="str">
        <f t="shared" si="23"/>
        <v/>
      </c>
      <c r="K517" s="105"/>
    </row>
    <row r="518" spans="2:11" ht="12.95" customHeight="1" x14ac:dyDescent="0.25">
      <c r="B518" s="45" t="str">
        <f>VLOOKUP(C518,SintéticoNC!$F$4:$G$83,2,FALSE)</f>
        <v>Dimas Fabiano</v>
      </c>
      <c r="C518" s="42" t="s">
        <v>176</v>
      </c>
      <c r="D518" s="23" t="s">
        <v>216</v>
      </c>
      <c r="E518" s="43" t="s">
        <v>11</v>
      </c>
      <c r="F518" s="50"/>
      <c r="G518" s="50">
        <f>I442*ÍndiceCorreçãoNC!$C$10</f>
        <v>0</v>
      </c>
      <c r="H518" s="50">
        <f t="shared" si="21"/>
        <v>0</v>
      </c>
      <c r="I518" s="50">
        <f t="shared" si="22"/>
        <v>93648.469469999996</v>
      </c>
      <c r="J518" s="106" t="str">
        <f t="shared" si="23"/>
        <v/>
      </c>
      <c r="K518" s="105"/>
    </row>
    <row r="519" spans="2:11" ht="12.95" customHeight="1" x14ac:dyDescent="0.25">
      <c r="B519" s="45" t="str">
        <f>VLOOKUP(C519,SintéticoNC!$F$4:$G$83,2,FALSE)</f>
        <v>Edna Henrique</v>
      </c>
      <c r="C519" s="42" t="s">
        <v>178</v>
      </c>
      <c r="D519" s="23" t="s">
        <v>216</v>
      </c>
      <c r="E519" s="43" t="s">
        <v>11</v>
      </c>
      <c r="F519" s="50"/>
      <c r="G519" s="50">
        <f>I443*ÍndiceCorreçãoNC!$C$10</f>
        <v>0</v>
      </c>
      <c r="H519" s="50">
        <f t="shared" si="21"/>
        <v>0</v>
      </c>
      <c r="I519" s="50">
        <f t="shared" si="22"/>
        <v>92641.496679999997</v>
      </c>
      <c r="J519" s="106" t="str">
        <f t="shared" si="23"/>
        <v/>
      </c>
      <c r="K519" s="105"/>
    </row>
    <row r="520" spans="2:11" ht="12.95" customHeight="1" x14ac:dyDescent="0.25">
      <c r="B520" s="45" t="str">
        <f>VLOOKUP(C520,SintéticoNC!$F$4:$G$83,2,FALSE)</f>
        <v>Fabio Reis</v>
      </c>
      <c r="C520" s="42" t="s">
        <v>180</v>
      </c>
      <c r="D520" s="23" t="s">
        <v>216</v>
      </c>
      <c r="E520" s="43" t="s">
        <v>11</v>
      </c>
      <c r="F520" s="50"/>
      <c r="G520" s="50">
        <f>I444*ÍndiceCorreçãoNC!$C$10</f>
        <v>0</v>
      </c>
      <c r="H520" s="50">
        <f t="shared" si="21"/>
        <v>0</v>
      </c>
      <c r="I520" s="50">
        <f t="shared" si="22"/>
        <v>42172.020445200003</v>
      </c>
      <c r="J520" s="106" t="str">
        <f t="shared" si="23"/>
        <v/>
      </c>
      <c r="K520" s="105"/>
    </row>
    <row r="521" spans="2:11" ht="12.95" customHeight="1" x14ac:dyDescent="0.25">
      <c r="B521" s="45" t="str">
        <f>VLOOKUP(C521,SintéticoNC!$F$4:$G$83,2,FALSE)</f>
        <v>Flavia Arruda</v>
      </c>
      <c r="C521" s="42" t="s">
        <v>182</v>
      </c>
      <c r="D521" s="23" t="s">
        <v>216</v>
      </c>
      <c r="E521" s="43" t="s">
        <v>11</v>
      </c>
      <c r="F521" s="50"/>
      <c r="G521" s="50">
        <f>I445*ÍndiceCorreçãoNC!$C$10</f>
        <v>0</v>
      </c>
      <c r="H521" s="50">
        <f t="shared" si="21"/>
        <v>0</v>
      </c>
      <c r="I521" s="50">
        <f t="shared" si="22"/>
        <v>371113.77991776</v>
      </c>
      <c r="J521" s="106" t="str">
        <f t="shared" si="23"/>
        <v/>
      </c>
      <c r="K521" s="105"/>
    </row>
    <row r="522" spans="2:11" ht="12.95" customHeight="1" x14ac:dyDescent="0.25">
      <c r="B522" s="45" t="str">
        <f>VLOOKUP(C522,SintéticoNC!$F$4:$G$83,2,FALSE)</f>
        <v>General Girão</v>
      </c>
      <c r="C522" s="42" t="s">
        <v>184</v>
      </c>
      <c r="D522" s="23" t="s">
        <v>216</v>
      </c>
      <c r="E522" s="43" t="s">
        <v>11</v>
      </c>
      <c r="F522" s="50"/>
      <c r="G522" s="50">
        <f>I446*ÍndiceCorreçãoNC!$C$10</f>
        <v>0</v>
      </c>
      <c r="H522" s="50">
        <f t="shared" si="21"/>
        <v>0</v>
      </c>
      <c r="I522" s="50">
        <f t="shared" si="22"/>
        <v>93648.469469999996</v>
      </c>
      <c r="J522" s="106" t="str">
        <f t="shared" si="23"/>
        <v/>
      </c>
      <c r="K522" s="105"/>
    </row>
    <row r="523" spans="2:11" ht="12.95" customHeight="1" x14ac:dyDescent="0.25">
      <c r="B523" s="45" t="str">
        <f>VLOOKUP(C523,SintéticoNC!$F$4:$G$83,2,FALSE)</f>
        <v>José Nunes</v>
      </c>
      <c r="C523" s="42" t="s">
        <v>186</v>
      </c>
      <c r="D523" s="23" t="s">
        <v>216</v>
      </c>
      <c r="E523" s="43" t="s">
        <v>11</v>
      </c>
      <c r="F523" s="50"/>
      <c r="G523" s="50">
        <f>I447*ÍndiceCorreçãoNC!$C$10</f>
        <v>0</v>
      </c>
      <c r="H523" s="50">
        <f t="shared" si="21"/>
        <v>0</v>
      </c>
      <c r="I523" s="50">
        <f t="shared" si="22"/>
        <v>93648.469469999996</v>
      </c>
      <c r="J523" s="106" t="str">
        <f t="shared" si="23"/>
        <v/>
      </c>
      <c r="K523" s="105"/>
    </row>
    <row r="524" spans="2:11" ht="12.95" customHeight="1" x14ac:dyDescent="0.25">
      <c r="B524" s="45" t="str">
        <f>VLOOKUP(C524,SintéticoNC!$F$4:$G$83,2,FALSE)</f>
        <v>Josivaldo JP</v>
      </c>
      <c r="C524" s="42" t="s">
        <v>188</v>
      </c>
      <c r="D524" s="23" t="s">
        <v>216</v>
      </c>
      <c r="E524" s="43" t="s">
        <v>11</v>
      </c>
      <c r="F524" s="50"/>
      <c r="G524" s="50">
        <f>I448*ÍndiceCorreçãoNC!$C$10</f>
        <v>0</v>
      </c>
      <c r="H524" s="50">
        <f t="shared" si="21"/>
        <v>0</v>
      </c>
      <c r="I524" s="50">
        <f t="shared" si="22"/>
        <v>48334.693919999998</v>
      </c>
      <c r="J524" s="106" t="str">
        <f t="shared" si="23"/>
        <v/>
      </c>
      <c r="K524" s="105"/>
    </row>
    <row r="525" spans="2:11" ht="12.95" customHeight="1" x14ac:dyDescent="0.25">
      <c r="B525" s="45" t="str">
        <f>VLOOKUP(C525,SintéticoNC!$F$4:$G$83,2,FALSE)</f>
        <v>Junior Lourenço</v>
      </c>
      <c r="C525" s="42" t="s">
        <v>190</v>
      </c>
      <c r="D525" s="23" t="s">
        <v>216</v>
      </c>
      <c r="E525" s="43" t="s">
        <v>11</v>
      </c>
      <c r="F525" s="50"/>
      <c r="G525" s="50">
        <f>I449*ÍndiceCorreçãoNC!$C$10</f>
        <v>0</v>
      </c>
      <c r="H525" s="50">
        <f t="shared" si="21"/>
        <v>0</v>
      </c>
      <c r="I525" s="50">
        <f t="shared" si="22"/>
        <v>156080.78245</v>
      </c>
      <c r="J525" s="106" t="str">
        <f t="shared" si="23"/>
        <v/>
      </c>
      <c r="K525" s="105"/>
    </row>
    <row r="526" spans="2:11" ht="12.95" customHeight="1" x14ac:dyDescent="0.25">
      <c r="B526" s="45" t="str">
        <f>VLOOKUP(C526,SintéticoNC!$F$4:$G$83,2,FALSE)</f>
        <v>Leo de Brito</v>
      </c>
      <c r="C526" s="42" t="s">
        <v>192</v>
      </c>
      <c r="D526" s="23" t="s">
        <v>216</v>
      </c>
      <c r="E526" s="43" t="s">
        <v>11</v>
      </c>
      <c r="F526" s="50"/>
      <c r="G526" s="50">
        <f>I450*ÍndiceCorreçãoNC!$C$10</f>
        <v>0</v>
      </c>
      <c r="H526" s="50">
        <f t="shared" si="21"/>
        <v>0</v>
      </c>
      <c r="I526" s="50">
        <f t="shared" si="22"/>
        <v>171185.3743</v>
      </c>
      <c r="J526" s="106" t="str">
        <f t="shared" si="23"/>
        <v/>
      </c>
      <c r="K526" s="105"/>
    </row>
    <row r="527" spans="2:11" ht="12.95" customHeight="1" x14ac:dyDescent="0.25">
      <c r="B527" s="45" t="str">
        <f>VLOOKUP(C527,SintéticoNC!$F$4:$G$83,2,FALSE)</f>
        <v>Luciano Bivar</v>
      </c>
      <c r="C527" s="42" t="s">
        <v>194</v>
      </c>
      <c r="D527" s="23" t="s">
        <v>216</v>
      </c>
      <c r="E527" s="43" t="s">
        <v>11</v>
      </c>
      <c r="F527" s="50"/>
      <c r="G527" s="50">
        <f>I451*ÍndiceCorreçãoNC!$C$10</f>
        <v>0</v>
      </c>
      <c r="H527" s="50">
        <f t="shared" si="21"/>
        <v>0</v>
      </c>
      <c r="I527" s="50">
        <f t="shared" si="22"/>
        <v>93648.469469999996</v>
      </c>
      <c r="J527" s="106" t="str">
        <f t="shared" si="23"/>
        <v/>
      </c>
      <c r="K527" s="105"/>
    </row>
    <row r="528" spans="2:11" ht="12.95" customHeight="1" x14ac:dyDescent="0.25">
      <c r="B528" s="45" t="str">
        <f>VLOOKUP(C528,SintéticoNC!$F$4:$G$83,2,FALSE)</f>
        <v>Luis Tibé</v>
      </c>
      <c r="C528" s="42" t="s">
        <v>196</v>
      </c>
      <c r="D528" s="23" t="s">
        <v>216</v>
      </c>
      <c r="E528" s="43" t="s">
        <v>11</v>
      </c>
      <c r="F528" s="50"/>
      <c r="G528" s="50">
        <f>I452*ÍndiceCorreçãoNC!$C$10</f>
        <v>0</v>
      </c>
      <c r="H528" s="50">
        <f t="shared" si="21"/>
        <v>0</v>
      </c>
      <c r="I528" s="50">
        <f t="shared" si="22"/>
        <v>93648.469469999996</v>
      </c>
      <c r="J528" s="106" t="str">
        <f t="shared" si="23"/>
        <v/>
      </c>
      <c r="K528" s="105"/>
    </row>
    <row r="529" spans="2:11" ht="12.95" customHeight="1" x14ac:dyDescent="0.25">
      <c r="B529" s="45" t="str">
        <f>VLOOKUP(C529,SintéticoNC!$F$4:$G$83,2,FALSE)</f>
        <v>Mara Rocha</v>
      </c>
      <c r="C529" s="42" t="s">
        <v>198</v>
      </c>
      <c r="D529" s="23" t="s">
        <v>216</v>
      </c>
      <c r="E529" s="43" t="s">
        <v>11</v>
      </c>
      <c r="F529" s="50"/>
      <c r="G529" s="50">
        <f>I453*ÍndiceCorreçãoNC!$C$10</f>
        <v>0</v>
      </c>
      <c r="H529" s="50">
        <f t="shared" si="21"/>
        <v>0</v>
      </c>
      <c r="I529" s="50">
        <f t="shared" si="22"/>
        <v>171185.3743</v>
      </c>
      <c r="J529" s="106" t="str">
        <f t="shared" si="23"/>
        <v/>
      </c>
      <c r="K529" s="105"/>
    </row>
    <row r="530" spans="2:11" ht="12.95" customHeight="1" x14ac:dyDescent="0.25">
      <c r="B530" s="45" t="str">
        <f>VLOOKUP(C530,SintéticoNC!$F$4:$G$83,2,FALSE)</f>
        <v>Marx Beltrão</v>
      </c>
      <c r="C530" s="42" t="s">
        <v>200</v>
      </c>
      <c r="D530" s="23" t="s">
        <v>216</v>
      </c>
      <c r="E530" s="43" t="s">
        <v>11</v>
      </c>
      <c r="F530" s="50"/>
      <c r="G530" s="50">
        <f>I454*ÍndiceCorreçãoNC!$C$10</f>
        <v>0</v>
      </c>
      <c r="H530" s="50">
        <f t="shared" ref="H530:H593" si="24">IF(I454+G530&gt;F530,F530,I454+G530)</f>
        <v>0</v>
      </c>
      <c r="I530" s="50">
        <f t="shared" ref="I530:I593" si="25">IF(F530&gt;I454+G530,"",I454+G530-F530)</f>
        <v>93648.469469999996</v>
      </c>
      <c r="J530" s="106" t="str">
        <f t="shared" ref="J530:J593" si="26">IF(I530="",F530-(I454+G530),"")</f>
        <v/>
      </c>
      <c r="K530" s="105"/>
    </row>
    <row r="531" spans="2:11" ht="12.95" customHeight="1" x14ac:dyDescent="0.25">
      <c r="B531" s="45" t="str">
        <f>VLOOKUP(C531,SintéticoNC!$F$4:$G$83,2,FALSE)</f>
        <v>Perpétua Almeida</v>
      </c>
      <c r="C531" s="42" t="s">
        <v>202</v>
      </c>
      <c r="D531" s="23" t="s">
        <v>216</v>
      </c>
      <c r="E531" s="43" t="s">
        <v>11</v>
      </c>
      <c r="F531" s="50"/>
      <c r="G531" s="50">
        <f>I455*ÍndiceCorreçãoNC!$C$10</f>
        <v>0</v>
      </c>
      <c r="H531" s="50">
        <f t="shared" si="24"/>
        <v>0</v>
      </c>
      <c r="I531" s="50">
        <f t="shared" si="25"/>
        <v>194341.72057884</v>
      </c>
      <c r="J531" s="106" t="str">
        <f t="shared" si="26"/>
        <v/>
      </c>
      <c r="K531" s="105"/>
    </row>
    <row r="532" spans="2:11" ht="12.95" customHeight="1" x14ac:dyDescent="0.25">
      <c r="B532" s="45" t="str">
        <f>VLOOKUP(C532,SintéticoNC!$F$4:$G$83,2,FALSE)</f>
        <v>Sérgio Petecão</v>
      </c>
      <c r="C532" s="42" t="s">
        <v>204</v>
      </c>
      <c r="D532" s="23" t="s">
        <v>216</v>
      </c>
      <c r="E532" s="43" t="s">
        <v>11</v>
      </c>
      <c r="F532" s="50"/>
      <c r="G532" s="50">
        <f>I456*ÍndiceCorreçãoNC!$C$10</f>
        <v>0</v>
      </c>
      <c r="H532" s="50">
        <f t="shared" si="24"/>
        <v>0</v>
      </c>
      <c r="I532" s="50">
        <f t="shared" si="25"/>
        <v>133538.68957305999</v>
      </c>
      <c r="J532" s="106" t="str">
        <f t="shared" si="26"/>
        <v/>
      </c>
      <c r="K532" s="105"/>
    </row>
    <row r="533" spans="2:11" ht="12.95" customHeight="1" x14ac:dyDescent="0.25">
      <c r="B533" s="45" t="str">
        <f>VLOOKUP(C533,SintéticoNC!$F$4:$G$83,2,FALSE)</f>
        <v>Uldurico Junior</v>
      </c>
      <c r="C533" s="42" t="s">
        <v>206</v>
      </c>
      <c r="D533" s="23" t="s">
        <v>216</v>
      </c>
      <c r="E533" s="43" t="s">
        <v>11</v>
      </c>
      <c r="F533" s="50"/>
      <c r="G533" s="50">
        <f>I457*ÍndiceCorreçãoNC!$C$10</f>
        <v>0</v>
      </c>
      <c r="H533" s="50">
        <f t="shared" si="24"/>
        <v>0</v>
      </c>
      <c r="I533" s="50">
        <f t="shared" si="25"/>
        <v>141983.16339</v>
      </c>
      <c r="J533" s="106" t="str">
        <f t="shared" si="26"/>
        <v/>
      </c>
      <c r="K533" s="105"/>
    </row>
    <row r="534" spans="2:11" ht="12.95" customHeight="1" x14ac:dyDescent="0.25">
      <c r="B534" s="45" t="str">
        <f>VLOOKUP(C534,SintéticoNC!$F$4:$G$83,2,FALSE)</f>
        <v>Soraya Thronicke</v>
      </c>
      <c r="C534" s="42" t="s">
        <v>208</v>
      </c>
      <c r="D534" s="23" t="s">
        <v>216</v>
      </c>
      <c r="E534" s="43" t="s">
        <v>11</v>
      </c>
      <c r="F534" s="50"/>
      <c r="G534" s="50">
        <f>I458*ÍndiceCorreçãoNC!$C$10</f>
        <v>0</v>
      </c>
      <c r="H534" s="50">
        <f t="shared" si="24"/>
        <v>0</v>
      </c>
      <c r="I534" s="50">
        <f t="shared" si="25"/>
        <v>156080.78245</v>
      </c>
      <c r="J534" s="106" t="str">
        <f t="shared" si="26"/>
        <v/>
      </c>
      <c r="K534" s="105"/>
    </row>
    <row r="535" spans="2:11" ht="12.95" customHeight="1" x14ac:dyDescent="0.25">
      <c r="B535" s="45" t="str">
        <f>VLOOKUP(C535,SintéticoNC!$F$4:$G$83,2,FALSE)</f>
        <v>MCom</v>
      </c>
      <c r="C535" s="42" t="s">
        <v>211</v>
      </c>
      <c r="D535" s="23" t="s">
        <v>216</v>
      </c>
      <c r="E535" s="43" t="s">
        <v>11</v>
      </c>
      <c r="F535" s="50"/>
      <c r="G535" s="50">
        <f>I459*ÍndiceCorreçãoNC!$C$10</f>
        <v>0</v>
      </c>
      <c r="H535" s="50">
        <f t="shared" si="24"/>
        <v>0</v>
      </c>
      <c r="I535" s="50">
        <f t="shared" si="25"/>
        <v>503486.39500000002</v>
      </c>
      <c r="J535" s="106" t="str">
        <f t="shared" si="26"/>
        <v/>
      </c>
      <c r="K535" s="105"/>
    </row>
    <row r="536" spans="2:11" ht="12.95" customHeight="1" x14ac:dyDescent="0.25">
      <c r="B536" s="45" t="str">
        <f>VLOOKUP(C536,SintéticoNC!$F$4:$G$83,2,FALSE)</f>
        <v>Cabo Junio Amaral</v>
      </c>
      <c r="C536" s="42" t="s">
        <v>213</v>
      </c>
      <c r="D536" s="23" t="s">
        <v>216</v>
      </c>
      <c r="E536" s="43" t="s">
        <v>11</v>
      </c>
      <c r="F536" s="50"/>
      <c r="G536" s="50">
        <f>I460*ÍndiceCorreçãoNC!$C$10</f>
        <v>0</v>
      </c>
      <c r="H536" s="50">
        <f t="shared" si="24"/>
        <v>0</v>
      </c>
      <c r="I536" s="50">
        <f t="shared" si="25"/>
        <v>93648.469469999996</v>
      </c>
      <c r="J536" s="106" t="str">
        <f t="shared" si="26"/>
        <v/>
      </c>
      <c r="K536" s="105"/>
    </row>
    <row r="537" spans="2:11" ht="12.95" customHeight="1" x14ac:dyDescent="0.25">
      <c r="B537" s="45" t="str">
        <f>VLOOKUP(C537,SintéticoNC!$F$4:$G$83,2,FALSE)</f>
        <v>Leur Lomanto</v>
      </c>
      <c r="C537" s="42" t="s">
        <v>215</v>
      </c>
      <c r="D537" s="23" t="s">
        <v>216</v>
      </c>
      <c r="E537" s="43" t="s">
        <v>11</v>
      </c>
      <c r="F537" s="50"/>
      <c r="G537" s="50">
        <f>I461*ÍndiceCorreçãoNC!$C$10</f>
        <v>0</v>
      </c>
      <c r="H537" s="50">
        <f t="shared" si="24"/>
        <v>0</v>
      </c>
      <c r="I537" s="50">
        <f t="shared" si="25"/>
        <v>28195.238120000002</v>
      </c>
      <c r="J537" s="106" t="str">
        <f t="shared" si="26"/>
        <v/>
      </c>
      <c r="K537" s="105"/>
    </row>
    <row r="538" spans="2:11" ht="12.95" customHeight="1" x14ac:dyDescent="0.25">
      <c r="B538" s="45" t="str">
        <f>VLOOKUP(C538,SintéticoNC!$F$4:$G$83,2,FALSE)</f>
        <v>Bancada de Alagoas</v>
      </c>
      <c r="C538" s="42" t="s">
        <v>141</v>
      </c>
      <c r="D538" s="23" t="s">
        <v>153</v>
      </c>
      <c r="E538" s="43" t="s">
        <v>12</v>
      </c>
      <c r="F538" s="50"/>
      <c r="G538" s="50">
        <f>I462*ÍndiceCorreçãoNC!$C$11</f>
        <v>0</v>
      </c>
      <c r="H538" s="50">
        <f t="shared" si="24"/>
        <v>0</v>
      </c>
      <c r="I538" s="50">
        <f t="shared" si="25"/>
        <v>1814033.9908278328</v>
      </c>
      <c r="J538" s="106" t="str">
        <f t="shared" si="26"/>
        <v/>
      </c>
      <c r="K538" s="105"/>
    </row>
    <row r="539" spans="2:11" ht="12.95" customHeight="1" x14ac:dyDescent="0.25">
      <c r="B539" s="45" t="str">
        <f>VLOOKUP(C539,SintéticoNC!$F$4:$G$83,2,FALSE)</f>
        <v>Bancada de Alagoas</v>
      </c>
      <c r="C539" s="42" t="s">
        <v>142</v>
      </c>
      <c r="D539" s="23" t="s">
        <v>153</v>
      </c>
      <c r="E539" s="43" t="s">
        <v>12</v>
      </c>
      <c r="F539" s="50"/>
      <c r="G539" s="50">
        <f>I463*ÍndiceCorreçãoNC!$C$11</f>
        <v>0</v>
      </c>
      <c r="H539" s="50">
        <f t="shared" si="24"/>
        <v>0</v>
      </c>
      <c r="I539" s="50">
        <f t="shared" si="25"/>
        <v>528056.53107599996</v>
      </c>
      <c r="J539" s="106" t="str">
        <f t="shared" si="26"/>
        <v/>
      </c>
      <c r="K539" s="105"/>
    </row>
    <row r="540" spans="2:11" ht="12.95" customHeight="1" x14ac:dyDescent="0.25">
      <c r="B540" s="45" t="str">
        <f>VLOOKUP(C540,SintéticoNC!$F$4:$G$83,2,FALSE)</f>
        <v>Bancada de Alagoas</v>
      </c>
      <c r="C540" s="42" t="s">
        <v>143</v>
      </c>
      <c r="D540" s="23" t="s">
        <v>153</v>
      </c>
      <c r="E540" s="43" t="s">
        <v>12</v>
      </c>
      <c r="F540" s="50"/>
      <c r="G540" s="50">
        <f>I464*ÍndiceCorreçãoNC!$C$11</f>
        <v>0</v>
      </c>
      <c r="H540" s="50">
        <f t="shared" si="24"/>
        <v>0</v>
      </c>
      <c r="I540" s="50">
        <f t="shared" si="25"/>
        <v>5262250.4896554798</v>
      </c>
      <c r="J540" s="106" t="str">
        <f t="shared" si="26"/>
        <v/>
      </c>
      <c r="K540" s="105"/>
    </row>
    <row r="541" spans="2:11" ht="12.95" customHeight="1" x14ac:dyDescent="0.25">
      <c r="B541" s="45" t="str">
        <f>VLOOKUP(C541,SintéticoNC!$F$4:$G$83,2,FALSE)</f>
        <v>Bancada de Minas Gerais</v>
      </c>
      <c r="C541" s="42" t="s">
        <v>144</v>
      </c>
      <c r="D541" s="23" t="s">
        <v>153</v>
      </c>
      <c r="E541" s="43" t="s">
        <v>12</v>
      </c>
      <c r="F541" s="50"/>
      <c r="G541" s="50">
        <f>I465*ÍndiceCorreçãoNC!$C$11</f>
        <v>0</v>
      </c>
      <c r="H541" s="50">
        <f t="shared" si="24"/>
        <v>0</v>
      </c>
      <c r="I541" s="50">
        <f t="shared" si="25"/>
        <v>13370850.949225677</v>
      </c>
      <c r="J541" s="106" t="str">
        <f t="shared" si="26"/>
        <v/>
      </c>
      <c r="K541" s="105"/>
    </row>
    <row r="542" spans="2:11" ht="12.95" customHeight="1" x14ac:dyDescent="0.25">
      <c r="B542" s="45" t="str">
        <f>VLOOKUP(C542,SintéticoNC!$F$4:$G$83,2,FALSE)</f>
        <v>Bancada de São Paulo</v>
      </c>
      <c r="C542" s="42" t="s">
        <v>145</v>
      </c>
      <c r="D542" s="23" t="s">
        <v>153</v>
      </c>
      <c r="E542" s="43" t="s">
        <v>12</v>
      </c>
      <c r="F542" s="50"/>
      <c r="G542" s="50">
        <f>I466*ÍndiceCorreçãoNC!$C$11</f>
        <v>0</v>
      </c>
      <c r="H542" s="50">
        <f t="shared" si="24"/>
        <v>0</v>
      </c>
      <c r="I542" s="50">
        <f t="shared" si="25"/>
        <v>1555533.3010259799</v>
      </c>
      <c r="J542" s="106" t="str">
        <f t="shared" si="26"/>
        <v/>
      </c>
      <c r="K542" s="105"/>
    </row>
    <row r="543" spans="2:11" ht="12.95" customHeight="1" x14ac:dyDescent="0.25">
      <c r="B543" s="45" t="str">
        <f>VLOOKUP(C543,SintéticoNC!$F$4:$G$83,2,FALSE)</f>
        <v>Bancada do Espírito Santo</v>
      </c>
      <c r="C543" s="42" t="s">
        <v>146</v>
      </c>
      <c r="D543" s="23" t="s">
        <v>153</v>
      </c>
      <c r="E543" s="43" t="s">
        <v>12</v>
      </c>
      <c r="F543" s="50"/>
      <c r="G543" s="50">
        <f>I467*ÍndiceCorreçãoNC!$C$11</f>
        <v>0</v>
      </c>
      <c r="H543" s="50">
        <f t="shared" si="24"/>
        <v>0</v>
      </c>
      <c r="I543" s="50">
        <f t="shared" si="25"/>
        <v>1420853.1473770875</v>
      </c>
      <c r="J543" s="106" t="str">
        <f t="shared" si="26"/>
        <v/>
      </c>
      <c r="K543" s="105"/>
    </row>
    <row r="544" spans="2:11" ht="12.95" customHeight="1" x14ac:dyDescent="0.25">
      <c r="B544" s="45" t="str">
        <f>VLOOKUP(C544,SintéticoNC!$F$4:$G$83,2,FALSE)</f>
        <v>Bancada do Espírito Santo</v>
      </c>
      <c r="C544" s="42" t="s">
        <v>147</v>
      </c>
      <c r="D544" s="23" t="s">
        <v>153</v>
      </c>
      <c r="E544" s="43" t="s">
        <v>12</v>
      </c>
      <c r="F544" s="50"/>
      <c r="G544" s="50">
        <f>I468*ÍndiceCorreçãoNC!$C$11</f>
        <v>0</v>
      </c>
      <c r="H544" s="50">
        <f t="shared" si="24"/>
        <v>0</v>
      </c>
      <c r="I544" s="50">
        <f t="shared" si="25"/>
        <v>2260653.9135500002</v>
      </c>
      <c r="J544" s="106" t="str">
        <f t="shared" si="26"/>
        <v/>
      </c>
      <c r="K544" s="105"/>
    </row>
    <row r="545" spans="2:11" ht="12.95" customHeight="1" x14ac:dyDescent="0.25">
      <c r="B545" s="45" t="str">
        <f>VLOOKUP(C545,SintéticoNC!$F$4:$G$83,2,FALSE)</f>
        <v>Bancada do Espírito Santo</v>
      </c>
      <c r="C545" s="42" t="s">
        <v>148</v>
      </c>
      <c r="D545" s="23" t="s">
        <v>153</v>
      </c>
      <c r="E545" s="43" t="s">
        <v>12</v>
      </c>
      <c r="F545" s="50"/>
      <c r="G545" s="50">
        <f>I469*ÍndiceCorreçãoNC!$C$11</f>
        <v>0</v>
      </c>
      <c r="H545" s="50">
        <f t="shared" si="24"/>
        <v>0</v>
      </c>
      <c r="I545" s="50">
        <f t="shared" si="25"/>
        <v>2771189.1180799999</v>
      </c>
      <c r="J545" s="106" t="str">
        <f t="shared" si="26"/>
        <v/>
      </c>
      <c r="K545" s="105"/>
    </row>
    <row r="546" spans="2:11" ht="12.95" customHeight="1" x14ac:dyDescent="0.25">
      <c r="B546" s="45" t="str">
        <f>VLOOKUP(C546,SintéticoNC!$F$4:$G$83,2,FALSE)</f>
        <v>Bancada do Maranhão</v>
      </c>
      <c r="C546" s="42" t="s">
        <v>149</v>
      </c>
      <c r="D546" s="23" t="s">
        <v>153</v>
      </c>
      <c r="E546" s="43" t="s">
        <v>12</v>
      </c>
      <c r="F546" s="50"/>
      <c r="G546" s="50">
        <f>I470*ÍndiceCorreçãoNC!$C$11</f>
        <v>0</v>
      </c>
      <c r="H546" s="50">
        <f t="shared" si="24"/>
        <v>0</v>
      </c>
      <c r="I546" s="50">
        <f t="shared" si="25"/>
        <v>755229.59250000003</v>
      </c>
      <c r="J546" s="106" t="str">
        <f t="shared" si="26"/>
        <v/>
      </c>
      <c r="K546" s="105"/>
    </row>
    <row r="547" spans="2:11" ht="12.95" customHeight="1" x14ac:dyDescent="0.25">
      <c r="B547" s="45" t="str">
        <f>VLOOKUP(C547,SintéticoNC!$F$4:$G$83,2,FALSE)</f>
        <v>Bancada do Pará</v>
      </c>
      <c r="C547" s="42" t="s">
        <v>152</v>
      </c>
      <c r="D547" s="23" t="s">
        <v>153</v>
      </c>
      <c r="E547" s="43" t="s">
        <v>12</v>
      </c>
      <c r="F547" s="50"/>
      <c r="G547" s="50">
        <f>I471*ÍndiceCorreçãoNC!$C$11</f>
        <v>0</v>
      </c>
      <c r="H547" s="50">
        <f t="shared" si="24"/>
        <v>0</v>
      </c>
      <c r="I547" s="50">
        <f t="shared" si="25"/>
        <v>493416.66710000002</v>
      </c>
      <c r="J547" s="106" t="str">
        <f t="shared" si="26"/>
        <v/>
      </c>
      <c r="K547" s="105"/>
    </row>
    <row r="548" spans="2:11" ht="12.95" customHeight="1" x14ac:dyDescent="0.25">
      <c r="B548" s="45" t="str">
        <f>VLOOKUP(C548,SintéticoNC!$F$4:$G$83,2,FALSE)</f>
        <v>Bancada do Pará</v>
      </c>
      <c r="C548" s="42" t="s">
        <v>151</v>
      </c>
      <c r="D548" s="23" t="s">
        <v>153</v>
      </c>
      <c r="E548" s="43" t="s">
        <v>12</v>
      </c>
      <c r="F548" s="50"/>
      <c r="G548" s="50">
        <f>I472*ÍndiceCorreçãoNC!$C$11</f>
        <v>0</v>
      </c>
      <c r="H548" s="50">
        <f t="shared" si="24"/>
        <v>0</v>
      </c>
      <c r="I548" s="50">
        <f t="shared" si="25"/>
        <v>837197.17760599998</v>
      </c>
      <c r="J548" s="106" t="str">
        <f t="shared" si="26"/>
        <v/>
      </c>
      <c r="K548" s="105"/>
    </row>
    <row r="549" spans="2:11" ht="12.95" customHeight="1" x14ac:dyDescent="0.25">
      <c r="B549" s="45" t="str">
        <f>VLOOKUP(C549,SintéticoNC!$F$4:$G$83,2,FALSE)</f>
        <v>Cabo Junio Amaral</v>
      </c>
      <c r="C549" s="42" t="s">
        <v>150</v>
      </c>
      <c r="D549" s="23" t="s">
        <v>153</v>
      </c>
      <c r="E549" s="43" t="s">
        <v>12</v>
      </c>
      <c r="F549" s="50"/>
      <c r="G549" s="50">
        <f>I473*ÍndiceCorreçãoNC!$C$11</f>
        <v>0</v>
      </c>
      <c r="H549" s="50">
        <f t="shared" si="24"/>
        <v>0</v>
      </c>
      <c r="I549" s="50">
        <f t="shared" si="25"/>
        <v>208443.36752999999</v>
      </c>
      <c r="J549" s="106" t="str">
        <f t="shared" si="26"/>
        <v/>
      </c>
      <c r="K549" s="105"/>
    </row>
    <row r="550" spans="2:11" ht="12.95" customHeight="1" x14ac:dyDescent="0.25">
      <c r="B550" s="45" t="str">
        <f>VLOOKUP(C550,SintéticoNC!$F$4:$G$83,2,FALSE)</f>
        <v>Celso Sabino</v>
      </c>
      <c r="C550" s="42" t="s">
        <v>44</v>
      </c>
      <c r="D550" s="23" t="s">
        <v>153</v>
      </c>
      <c r="E550" s="43" t="s">
        <v>12</v>
      </c>
      <c r="F550" s="50"/>
      <c r="G550" s="50">
        <f>I474*ÍndiceCorreçãoNC!$C$11</f>
        <v>0</v>
      </c>
      <c r="H550" s="50">
        <f t="shared" si="24"/>
        <v>0</v>
      </c>
      <c r="I550" s="50">
        <f t="shared" si="25"/>
        <v>97875.449220310911</v>
      </c>
      <c r="J550" s="106" t="str">
        <f t="shared" si="26"/>
        <v/>
      </c>
      <c r="K550" s="105"/>
    </row>
    <row r="551" spans="2:11" ht="12.95" customHeight="1" x14ac:dyDescent="0.25">
      <c r="B551" s="45" t="str">
        <f>VLOOKUP(C551,SintéticoNC!$F$4:$G$83,2,FALSE)</f>
        <v>Coronel Chrisóstomo</v>
      </c>
      <c r="C551" s="42" t="s">
        <v>47</v>
      </c>
      <c r="D551" s="23" t="s">
        <v>153</v>
      </c>
      <c r="E551" s="43" t="s">
        <v>12</v>
      </c>
      <c r="F551" s="50"/>
      <c r="G551" s="50">
        <f>I475*ÍndiceCorreçãoNC!$C$11</f>
        <v>0</v>
      </c>
      <c r="H551" s="50">
        <f t="shared" si="24"/>
        <v>0</v>
      </c>
      <c r="I551" s="50">
        <f t="shared" si="25"/>
        <v>139465.73141499999</v>
      </c>
      <c r="J551" s="106" t="str">
        <f t="shared" si="26"/>
        <v/>
      </c>
      <c r="K551" s="105"/>
    </row>
    <row r="552" spans="2:11" ht="12.95" customHeight="1" x14ac:dyDescent="0.25">
      <c r="B552" s="45" t="str">
        <f>VLOOKUP(C552,SintéticoNC!$F$4:$G$83,2,FALSE)</f>
        <v>Dimas Fabiano</v>
      </c>
      <c r="C552" s="42" t="s">
        <v>50</v>
      </c>
      <c r="D552" s="23" t="s">
        <v>153</v>
      </c>
      <c r="E552" s="43" t="s">
        <v>12</v>
      </c>
      <c r="F552" s="50"/>
      <c r="G552" s="50">
        <f>I476*ÍndiceCorreçãoNC!$C$11</f>
        <v>0</v>
      </c>
      <c r="H552" s="50">
        <f t="shared" si="24"/>
        <v>0</v>
      </c>
      <c r="I552" s="50">
        <f t="shared" si="25"/>
        <v>208443.36752999999</v>
      </c>
      <c r="J552" s="106" t="str">
        <f t="shared" si="26"/>
        <v/>
      </c>
      <c r="K552" s="105"/>
    </row>
    <row r="553" spans="2:11" ht="12.95" customHeight="1" x14ac:dyDescent="0.25">
      <c r="B553" s="45" t="str">
        <f>VLOOKUP(C553,SintéticoNC!$F$4:$G$83,2,FALSE)</f>
        <v>Edna Henrique</v>
      </c>
      <c r="C553" s="42" t="s">
        <v>53</v>
      </c>
      <c r="D553" s="23" t="s">
        <v>153</v>
      </c>
      <c r="E553" s="43" t="s">
        <v>12</v>
      </c>
      <c r="F553" s="50"/>
      <c r="G553" s="50">
        <f>I477*ÍndiceCorreçãoNC!$C$11</f>
        <v>0</v>
      </c>
      <c r="H553" s="50">
        <f t="shared" si="24"/>
        <v>0</v>
      </c>
      <c r="I553" s="50">
        <f t="shared" si="25"/>
        <v>209450.34031999999</v>
      </c>
      <c r="J553" s="106" t="str">
        <f t="shared" si="26"/>
        <v/>
      </c>
      <c r="K553" s="105"/>
    </row>
    <row r="554" spans="2:11" ht="12.95" customHeight="1" x14ac:dyDescent="0.25">
      <c r="B554" s="45" t="str">
        <f>VLOOKUP(C554,SintéticoNC!$F$4:$G$83,2,FALSE)</f>
        <v>Elias Vaz</v>
      </c>
      <c r="C554" s="42" t="s">
        <v>56</v>
      </c>
      <c r="D554" s="23" t="s">
        <v>153</v>
      </c>
      <c r="E554" s="43" t="s">
        <v>12</v>
      </c>
      <c r="F554" s="50"/>
      <c r="G554" s="50">
        <f>I478*ÍndiceCorreçãoNC!$C$11</f>
        <v>0</v>
      </c>
      <c r="H554" s="50">
        <f t="shared" si="24"/>
        <v>0</v>
      </c>
      <c r="I554" s="50">
        <f t="shared" si="25"/>
        <v>402789.11599999998</v>
      </c>
      <c r="J554" s="106" t="str">
        <f t="shared" si="26"/>
        <v/>
      </c>
      <c r="K554" s="105"/>
    </row>
    <row r="555" spans="2:11" ht="12.95" customHeight="1" x14ac:dyDescent="0.25">
      <c r="B555" s="45" t="str">
        <f>VLOOKUP(C555,SintéticoNC!$F$4:$G$83,2,FALSE)</f>
        <v>Expedito Netto</v>
      </c>
      <c r="C555" s="42" t="s">
        <v>59</v>
      </c>
      <c r="D555" s="23" t="s">
        <v>153</v>
      </c>
      <c r="E555" s="43" t="s">
        <v>12</v>
      </c>
      <c r="F555" s="50"/>
      <c r="G555" s="50">
        <f>I479*ÍndiceCorreçãoNC!$C$11</f>
        <v>0</v>
      </c>
      <c r="H555" s="50">
        <f t="shared" si="24"/>
        <v>0</v>
      </c>
      <c r="I555" s="50">
        <f t="shared" si="25"/>
        <v>283300.95943927957</v>
      </c>
      <c r="J555" s="106" t="str">
        <f t="shared" si="26"/>
        <v/>
      </c>
      <c r="K555" s="105"/>
    </row>
    <row r="556" spans="2:11" ht="12.95" customHeight="1" x14ac:dyDescent="0.25">
      <c r="B556" s="45" t="str">
        <f>VLOOKUP(C556,SintéticoNC!$F$4:$G$83,2,FALSE)</f>
        <v>Fabio Reis</v>
      </c>
      <c r="C556" s="42" t="s">
        <v>62</v>
      </c>
      <c r="D556" s="23" t="s">
        <v>153</v>
      </c>
      <c r="E556" s="43" t="s">
        <v>12</v>
      </c>
      <c r="F556" s="50"/>
      <c r="G556" s="50">
        <f>I480*ÍndiceCorreçãoNC!$C$11</f>
        <v>0</v>
      </c>
      <c r="H556" s="50">
        <f t="shared" si="24"/>
        <v>0</v>
      </c>
      <c r="I556" s="50">
        <f t="shared" si="25"/>
        <v>82156.865781336295</v>
      </c>
      <c r="J556" s="106" t="str">
        <f t="shared" si="26"/>
        <v/>
      </c>
      <c r="K556" s="105"/>
    </row>
    <row r="557" spans="2:11" ht="12.95" customHeight="1" x14ac:dyDescent="0.25">
      <c r="B557" s="45" t="str">
        <f>VLOOKUP(C557,SintéticoNC!$F$4:$G$83,2,FALSE)</f>
        <v>Flavia Arruda</v>
      </c>
      <c r="C557" s="42" t="s">
        <v>65</v>
      </c>
      <c r="D557" s="23" t="s">
        <v>153</v>
      </c>
      <c r="E557" s="43" t="s">
        <v>12</v>
      </c>
      <c r="F557" s="50"/>
      <c r="G557" s="50">
        <f>I481*ÍndiceCorreçãoNC!$C$11</f>
        <v>0</v>
      </c>
      <c r="H557" s="50">
        <f t="shared" si="24"/>
        <v>0</v>
      </c>
      <c r="I557" s="50">
        <f t="shared" si="25"/>
        <v>887563.63045465504</v>
      </c>
      <c r="J557" s="106" t="str">
        <f t="shared" si="26"/>
        <v/>
      </c>
      <c r="K557" s="105"/>
    </row>
    <row r="558" spans="2:11" ht="12.95" customHeight="1" x14ac:dyDescent="0.25">
      <c r="B558" s="45" t="str">
        <f>VLOOKUP(C558,SintéticoNC!$F$4:$G$83,2,FALSE)</f>
        <v>Flaviano Melo</v>
      </c>
      <c r="C558" s="42" t="s">
        <v>68</v>
      </c>
      <c r="D558" s="23" t="s">
        <v>153</v>
      </c>
      <c r="E558" s="43" t="s">
        <v>12</v>
      </c>
      <c r="F558" s="50"/>
      <c r="G558" s="50">
        <f>I482*ÍndiceCorreçãoNC!$C$11</f>
        <v>0</v>
      </c>
      <c r="H558" s="50">
        <f t="shared" si="24"/>
        <v>0</v>
      </c>
      <c r="I558" s="50">
        <f t="shared" si="25"/>
        <v>506301.91106029582</v>
      </c>
      <c r="J558" s="106" t="str">
        <f t="shared" si="26"/>
        <v/>
      </c>
      <c r="K558" s="105"/>
    </row>
    <row r="559" spans="2:11" ht="12.95" customHeight="1" x14ac:dyDescent="0.25">
      <c r="B559" s="45" t="str">
        <f>VLOOKUP(C559,SintéticoNC!$F$4:$G$83,2,FALSE)</f>
        <v>General Girão</v>
      </c>
      <c r="C559" s="42" t="s">
        <v>71</v>
      </c>
      <c r="D559" s="23" t="s">
        <v>153</v>
      </c>
      <c r="E559" s="43" t="s">
        <v>12</v>
      </c>
      <c r="F559" s="50"/>
      <c r="G559" s="50">
        <f>I483*ÍndiceCorreçãoNC!$C$11</f>
        <v>0</v>
      </c>
      <c r="H559" s="50">
        <f t="shared" si="24"/>
        <v>0</v>
      </c>
      <c r="I559" s="50">
        <f t="shared" si="25"/>
        <v>208443.36752999999</v>
      </c>
      <c r="J559" s="106" t="str">
        <f t="shared" si="26"/>
        <v/>
      </c>
      <c r="K559" s="105"/>
    </row>
    <row r="560" spans="2:11" ht="12.95" customHeight="1" x14ac:dyDescent="0.25">
      <c r="B560" s="45" t="str">
        <f>VLOOKUP(C560,SintéticoNC!$F$4:$G$83,2,FALSE)</f>
        <v>João Roma</v>
      </c>
      <c r="C560" s="42" t="s">
        <v>74</v>
      </c>
      <c r="D560" s="23" t="s">
        <v>153</v>
      </c>
      <c r="E560" s="43" t="s">
        <v>12</v>
      </c>
      <c r="F560" s="50"/>
      <c r="G560" s="50">
        <f>I484*ÍndiceCorreçãoNC!$C$11</f>
        <v>0</v>
      </c>
      <c r="H560" s="50">
        <f t="shared" si="24"/>
        <v>0</v>
      </c>
      <c r="I560" s="50">
        <f t="shared" si="25"/>
        <v>72671.020983889903</v>
      </c>
      <c r="J560" s="106" t="str">
        <f t="shared" si="26"/>
        <v/>
      </c>
      <c r="K560" s="105"/>
    </row>
    <row r="561" spans="2:11" ht="12.95" customHeight="1" x14ac:dyDescent="0.25">
      <c r="B561" s="45" t="str">
        <f>VLOOKUP(C561,SintéticoNC!$F$4:$G$83,2,FALSE)</f>
        <v>Joenia Wapichana</v>
      </c>
      <c r="C561" s="42" t="s">
        <v>77</v>
      </c>
      <c r="D561" s="23" t="s">
        <v>153</v>
      </c>
      <c r="E561" s="43" t="s">
        <v>12</v>
      </c>
      <c r="F561" s="50"/>
      <c r="G561" s="50">
        <f>I485*ÍndiceCorreçãoNC!$C$11</f>
        <v>0</v>
      </c>
      <c r="H561" s="50">
        <f t="shared" si="24"/>
        <v>0</v>
      </c>
      <c r="I561" s="50">
        <f t="shared" si="25"/>
        <v>9161.8613719917994</v>
      </c>
      <c r="J561" s="106" t="str">
        <f t="shared" si="26"/>
        <v/>
      </c>
      <c r="K561" s="105"/>
    </row>
    <row r="562" spans="2:11" ht="12.95" customHeight="1" x14ac:dyDescent="0.25">
      <c r="B562" s="45" t="str">
        <f>VLOOKUP(C562,SintéticoNC!$F$4:$G$83,2,FALSE)</f>
        <v>José Nunes</v>
      </c>
      <c r="C562" s="42" t="s">
        <v>80</v>
      </c>
      <c r="D562" s="23" t="s">
        <v>153</v>
      </c>
      <c r="E562" s="43" t="s">
        <v>12</v>
      </c>
      <c r="F562" s="50"/>
      <c r="G562" s="50">
        <f>I486*ÍndiceCorreçãoNC!$C$11</f>
        <v>0</v>
      </c>
      <c r="H562" s="50">
        <f t="shared" si="24"/>
        <v>0</v>
      </c>
      <c r="I562" s="50">
        <f t="shared" si="25"/>
        <v>208443.36752999999</v>
      </c>
      <c r="J562" s="106" t="str">
        <f t="shared" si="26"/>
        <v/>
      </c>
      <c r="K562" s="105"/>
    </row>
    <row r="563" spans="2:11" ht="12.95" customHeight="1" x14ac:dyDescent="0.25">
      <c r="B563" s="45" t="str">
        <f>VLOOKUP(C563,SintéticoNC!$F$4:$G$83,2,FALSE)</f>
        <v>Josivaldo JP</v>
      </c>
      <c r="C563" s="42" t="s">
        <v>83</v>
      </c>
      <c r="D563" s="23" t="s">
        <v>153</v>
      </c>
      <c r="E563" s="43" t="s">
        <v>12</v>
      </c>
      <c r="F563" s="50"/>
      <c r="G563" s="50">
        <f>I487*ÍndiceCorreçãoNC!$C$11</f>
        <v>0</v>
      </c>
      <c r="H563" s="50">
        <f t="shared" si="24"/>
        <v>0</v>
      </c>
      <c r="I563" s="50">
        <f t="shared" si="25"/>
        <v>102711.22457999999</v>
      </c>
      <c r="J563" s="106" t="str">
        <f t="shared" si="26"/>
        <v/>
      </c>
      <c r="K563" s="105"/>
    </row>
    <row r="564" spans="2:11" ht="12.95" customHeight="1" x14ac:dyDescent="0.25">
      <c r="B564" s="45" t="str">
        <f>VLOOKUP(C564,SintéticoNC!$F$4:$G$83,2,FALSE)</f>
        <v>Junior Lourenço</v>
      </c>
      <c r="C564" s="42" t="s">
        <v>86</v>
      </c>
      <c r="D564" s="23" t="s">
        <v>153</v>
      </c>
      <c r="E564" s="43" t="s">
        <v>12</v>
      </c>
      <c r="F564" s="50"/>
      <c r="G564" s="50">
        <f>I488*ÍndiceCorreçãoNC!$C$11</f>
        <v>0</v>
      </c>
      <c r="H564" s="50">
        <f t="shared" si="24"/>
        <v>0</v>
      </c>
      <c r="I564" s="50">
        <f t="shared" si="25"/>
        <v>347405.61255000002</v>
      </c>
      <c r="J564" s="106" t="str">
        <f t="shared" si="26"/>
        <v/>
      </c>
      <c r="K564" s="105"/>
    </row>
    <row r="565" spans="2:11" ht="12.95" customHeight="1" x14ac:dyDescent="0.25">
      <c r="B565" s="45" t="str">
        <f>VLOOKUP(C565,SintéticoNC!$F$4:$G$83,2,FALSE)</f>
        <v>Leo de Brito</v>
      </c>
      <c r="C565" s="42" t="s">
        <v>89</v>
      </c>
      <c r="D565" s="23" t="s">
        <v>153</v>
      </c>
      <c r="E565" s="43" t="s">
        <v>12</v>
      </c>
      <c r="F565" s="50"/>
      <c r="G565" s="50">
        <f>I489*ÍndiceCorreçãoNC!$C$11</f>
        <v>0</v>
      </c>
      <c r="H565" s="50">
        <f t="shared" si="24"/>
        <v>0</v>
      </c>
      <c r="I565" s="50">
        <f t="shared" si="25"/>
        <v>432998.29969999997</v>
      </c>
      <c r="J565" s="106" t="str">
        <f t="shared" si="26"/>
        <v/>
      </c>
      <c r="K565" s="105"/>
    </row>
    <row r="566" spans="2:11" ht="12.95" customHeight="1" x14ac:dyDescent="0.25">
      <c r="B566" s="45" t="str">
        <f>VLOOKUP(C566,SintéticoNC!$F$4:$G$83,2,FALSE)</f>
        <v>Leur Lomanto</v>
      </c>
      <c r="C566" s="42" t="s">
        <v>92</v>
      </c>
      <c r="D566" s="23" t="s">
        <v>153</v>
      </c>
      <c r="E566" s="43" t="s">
        <v>12</v>
      </c>
      <c r="F566" s="50"/>
      <c r="G566" s="50">
        <f>I490*ÍndiceCorreçãoNC!$C$11</f>
        <v>0</v>
      </c>
      <c r="H566" s="50">
        <f t="shared" si="24"/>
        <v>0</v>
      </c>
      <c r="I566" s="50">
        <f t="shared" si="25"/>
        <v>66563.217456416998</v>
      </c>
      <c r="J566" s="106" t="str">
        <f t="shared" si="26"/>
        <v/>
      </c>
      <c r="K566" s="105"/>
    </row>
    <row r="567" spans="2:11" ht="12.95" customHeight="1" x14ac:dyDescent="0.25">
      <c r="B567" s="45" t="str">
        <f>VLOOKUP(C567,SintéticoNC!$F$4:$G$83,2,FALSE)</f>
        <v>Luciano Bivar</v>
      </c>
      <c r="C567" s="42" t="s">
        <v>95</v>
      </c>
      <c r="D567" s="23" t="s">
        <v>153</v>
      </c>
      <c r="E567" s="43" t="s">
        <v>12</v>
      </c>
      <c r="F567" s="50"/>
      <c r="G567" s="50">
        <f>I491*ÍndiceCorreçãoNC!$C$11</f>
        <v>0</v>
      </c>
      <c r="H567" s="50">
        <f t="shared" si="24"/>
        <v>0</v>
      </c>
      <c r="I567" s="50">
        <f t="shared" si="25"/>
        <v>2492.2979341616001</v>
      </c>
      <c r="J567" s="106" t="str">
        <f t="shared" si="26"/>
        <v/>
      </c>
      <c r="K567" s="105"/>
    </row>
    <row r="568" spans="2:11" ht="12.95" customHeight="1" x14ac:dyDescent="0.25">
      <c r="B568" s="45" t="str">
        <f>VLOOKUP(C568,SintéticoNC!$F$4:$G$83,2,FALSE)</f>
        <v>Luis Tibé</v>
      </c>
      <c r="C568" s="42" t="s">
        <v>98</v>
      </c>
      <c r="D568" s="23" t="s">
        <v>153</v>
      </c>
      <c r="E568" s="43" t="s">
        <v>12</v>
      </c>
      <c r="F568" s="50"/>
      <c r="G568" s="50">
        <f>I492*ÍndiceCorreçãoNC!$C$11</f>
        <v>0</v>
      </c>
      <c r="H568" s="50">
        <f t="shared" si="24"/>
        <v>0</v>
      </c>
      <c r="I568" s="50">
        <f t="shared" si="25"/>
        <v>208443.36752999999</v>
      </c>
      <c r="J568" s="106" t="str">
        <f t="shared" si="26"/>
        <v/>
      </c>
      <c r="K568" s="105"/>
    </row>
    <row r="569" spans="2:11" ht="12.95" customHeight="1" x14ac:dyDescent="0.25">
      <c r="B569" s="45" t="str">
        <f>VLOOKUP(C569,SintéticoNC!$F$4:$G$83,2,FALSE)</f>
        <v>Mara Rocha</v>
      </c>
      <c r="C569" s="42" t="s">
        <v>101</v>
      </c>
      <c r="D569" s="23" t="s">
        <v>153</v>
      </c>
      <c r="E569" s="43" t="s">
        <v>12</v>
      </c>
      <c r="F569" s="50"/>
      <c r="G569" s="50">
        <f>I493*ÍndiceCorreçãoNC!$C$11</f>
        <v>0</v>
      </c>
      <c r="H569" s="50">
        <f t="shared" si="24"/>
        <v>0</v>
      </c>
      <c r="I569" s="50">
        <f t="shared" si="25"/>
        <v>411222.61381352897</v>
      </c>
      <c r="J569" s="106" t="str">
        <f t="shared" si="26"/>
        <v/>
      </c>
      <c r="K569" s="105"/>
    </row>
    <row r="570" spans="2:11" ht="12.95" customHeight="1" x14ac:dyDescent="0.25">
      <c r="B570" s="45" t="str">
        <f>VLOOKUP(C570,SintéticoNC!$F$4:$G$83,2,FALSE)</f>
        <v>Marx Beltrão</v>
      </c>
      <c r="C570" s="42" t="s">
        <v>104</v>
      </c>
      <c r="D570" s="23" t="s">
        <v>153</v>
      </c>
      <c r="E570" s="43" t="s">
        <v>12</v>
      </c>
      <c r="F570" s="50"/>
      <c r="G570" s="50">
        <f>I494*ÍndiceCorreçãoNC!$C$11</f>
        <v>0</v>
      </c>
      <c r="H570" s="50">
        <f t="shared" si="24"/>
        <v>0</v>
      </c>
      <c r="I570" s="50">
        <f t="shared" si="25"/>
        <v>208443.36752999999</v>
      </c>
      <c r="J570" s="106" t="str">
        <f t="shared" si="26"/>
        <v/>
      </c>
      <c r="K570" s="105"/>
    </row>
    <row r="571" spans="2:11" ht="12.95" customHeight="1" x14ac:dyDescent="0.25">
      <c r="B571" s="45" t="str">
        <f>VLOOKUP(C571,SintéticoNC!$F$4:$G$83,2,FALSE)</f>
        <v>Ministério das Comunicações</v>
      </c>
      <c r="C571" s="42" t="s">
        <v>107</v>
      </c>
      <c r="D571" s="23" t="s">
        <v>153</v>
      </c>
      <c r="E571" s="43" t="s">
        <v>12</v>
      </c>
      <c r="F571" s="50"/>
      <c r="G571" s="50">
        <f>I495*ÍndiceCorreçãoNC!$C$11</f>
        <v>0</v>
      </c>
      <c r="H571" s="50">
        <f t="shared" si="24"/>
        <v>0</v>
      </c>
      <c r="I571" s="50">
        <f t="shared" si="25"/>
        <v>15499755.251688881</v>
      </c>
      <c r="J571" s="106" t="str">
        <f t="shared" si="26"/>
        <v/>
      </c>
      <c r="K571" s="105"/>
    </row>
    <row r="572" spans="2:11" ht="12.95" customHeight="1" x14ac:dyDescent="0.25">
      <c r="B572" s="45" t="str">
        <f>VLOOKUP(C572,SintéticoNC!$F$4:$G$83,2,FALSE)</f>
        <v>Ministério das Comunicações</v>
      </c>
      <c r="C572" s="42" t="s">
        <v>109</v>
      </c>
      <c r="D572" s="23" t="s">
        <v>153</v>
      </c>
      <c r="E572" s="43" t="s">
        <v>12</v>
      </c>
      <c r="F572" s="50"/>
      <c r="G572" s="50">
        <f>I496*ÍndiceCorreçãoNC!$C$11</f>
        <v>0</v>
      </c>
      <c r="H572" s="50">
        <f t="shared" si="24"/>
        <v>0</v>
      </c>
      <c r="I572" s="50">
        <f t="shared" si="25"/>
        <v>3713715.64952</v>
      </c>
      <c r="J572" s="106" t="str">
        <f t="shared" si="26"/>
        <v/>
      </c>
      <c r="K572" s="105"/>
    </row>
    <row r="573" spans="2:11" ht="12.95" customHeight="1" x14ac:dyDescent="0.25">
      <c r="B573" s="45" t="str">
        <f>VLOOKUP(C573,SintéticoNC!$F$4:$G$83,2,FALSE)</f>
        <v>Ministério das Comunicações</v>
      </c>
      <c r="C573" s="42" t="s">
        <v>111</v>
      </c>
      <c r="D573" s="23" t="s">
        <v>153</v>
      </c>
      <c r="E573" s="43" t="s">
        <v>12</v>
      </c>
      <c r="F573" s="50"/>
      <c r="G573" s="50">
        <f>I497*ÍndiceCorreçãoNC!$C$11</f>
        <v>0</v>
      </c>
      <c r="H573" s="50">
        <f t="shared" si="24"/>
        <v>0</v>
      </c>
      <c r="I573" s="50">
        <f t="shared" si="25"/>
        <v>10069727.9</v>
      </c>
      <c r="J573" s="106" t="str">
        <f t="shared" si="26"/>
        <v/>
      </c>
      <c r="K573" s="105"/>
    </row>
    <row r="574" spans="2:11" ht="12.95" customHeight="1" x14ac:dyDescent="0.25">
      <c r="B574" s="45" t="str">
        <f>VLOOKUP(C574,SintéticoNC!$F$4:$G$83,2,FALSE)</f>
        <v>Ministério da Educação</v>
      </c>
      <c r="C574" s="42" t="s">
        <v>114</v>
      </c>
      <c r="D574" s="23" t="s">
        <v>153</v>
      </c>
      <c r="E574" s="43" t="s">
        <v>12</v>
      </c>
      <c r="F574" s="50"/>
      <c r="G574" s="50">
        <f>I498*ÍndiceCorreçãoNC!$C$11</f>
        <v>0</v>
      </c>
      <c r="H574" s="50">
        <f t="shared" si="24"/>
        <v>0</v>
      </c>
      <c r="I574" s="50">
        <f t="shared" si="25"/>
        <v>16980781.538382418</v>
      </c>
      <c r="J574" s="106" t="str">
        <f t="shared" si="26"/>
        <v/>
      </c>
      <c r="K574" s="105"/>
    </row>
    <row r="575" spans="2:11" ht="12.95" customHeight="1" x14ac:dyDescent="0.25">
      <c r="B575" s="45" t="str">
        <f>VLOOKUP(C575,SintéticoNC!$F$4:$G$83,2,FALSE)</f>
        <v>Ministério da Educação</v>
      </c>
      <c r="C575" s="42" t="s">
        <v>116</v>
      </c>
      <c r="D575" s="23" t="s">
        <v>153</v>
      </c>
      <c r="E575" s="43" t="s">
        <v>12</v>
      </c>
      <c r="F575" s="50"/>
      <c r="G575" s="50">
        <f>I499*ÍndiceCorreçãoNC!$C$11</f>
        <v>0</v>
      </c>
      <c r="H575" s="50">
        <f t="shared" si="24"/>
        <v>0</v>
      </c>
      <c r="I575" s="50">
        <f t="shared" si="25"/>
        <v>3706666.8399899998</v>
      </c>
      <c r="J575" s="106" t="str">
        <f t="shared" si="26"/>
        <v/>
      </c>
      <c r="K575" s="105"/>
    </row>
    <row r="576" spans="2:11" ht="12.95" customHeight="1" x14ac:dyDescent="0.25">
      <c r="B576" s="45" t="str">
        <f>VLOOKUP(C576,SintéticoNC!$F$4:$G$83,2,FALSE)</f>
        <v>Ministério da Justiça</v>
      </c>
      <c r="C576" s="42" t="s">
        <v>119</v>
      </c>
      <c r="D576" s="23" t="s">
        <v>153</v>
      </c>
      <c r="E576" s="43" t="s">
        <v>12</v>
      </c>
      <c r="F576" s="50"/>
      <c r="G576" s="50">
        <f>I500*ÍndiceCorreçãoNC!$C$11</f>
        <v>0</v>
      </c>
      <c r="H576" s="50">
        <f t="shared" si="24"/>
        <v>0</v>
      </c>
      <c r="I576" s="50">
        <f t="shared" si="25"/>
        <v>630294.98193109501</v>
      </c>
      <c r="J576" s="106" t="str">
        <f t="shared" si="26"/>
        <v/>
      </c>
      <c r="K576" s="105"/>
    </row>
    <row r="577" spans="2:11" ht="12.95" customHeight="1" x14ac:dyDescent="0.25">
      <c r="B577" s="45" t="str">
        <f>VLOOKUP(C577,SintéticoNC!$F$4:$G$83,2,FALSE)</f>
        <v>Ministério do Meio Ambiente</v>
      </c>
      <c r="C577" s="42" t="s">
        <v>122</v>
      </c>
      <c r="D577" s="23" t="s">
        <v>153</v>
      </c>
      <c r="E577" s="43" t="s">
        <v>12</v>
      </c>
      <c r="F577" s="50"/>
      <c r="G577" s="50">
        <f>I501*ÍndiceCorreçãoNC!$C$11</f>
        <v>0</v>
      </c>
      <c r="H577" s="50">
        <f t="shared" si="24"/>
        <v>0</v>
      </c>
      <c r="I577" s="50">
        <f t="shared" si="25"/>
        <v>108551.66676199999</v>
      </c>
      <c r="J577" s="106" t="str">
        <f t="shared" si="26"/>
        <v/>
      </c>
      <c r="K577" s="105"/>
    </row>
    <row r="578" spans="2:11" ht="12.95" customHeight="1" x14ac:dyDescent="0.25">
      <c r="B578" s="45" t="str">
        <f>VLOOKUP(C578,SintéticoNC!$F$4:$G$83,2,FALSE)</f>
        <v>Perpétua Almeida</v>
      </c>
      <c r="C578" s="42" t="s">
        <v>125</v>
      </c>
      <c r="D578" s="23" t="s">
        <v>153</v>
      </c>
      <c r="E578" s="43" t="s">
        <v>12</v>
      </c>
      <c r="F578" s="50"/>
      <c r="G578" s="50">
        <f>I502*ÍndiceCorreçãoNC!$C$11</f>
        <v>0</v>
      </c>
      <c r="H578" s="50">
        <f t="shared" si="24"/>
        <v>0</v>
      </c>
      <c r="I578" s="50">
        <f t="shared" si="25"/>
        <v>416886.73505999998</v>
      </c>
      <c r="J578" s="106" t="str">
        <f t="shared" si="26"/>
        <v/>
      </c>
      <c r="K578" s="105"/>
    </row>
    <row r="579" spans="2:11" ht="12.95" customHeight="1" x14ac:dyDescent="0.25">
      <c r="B579" s="45" t="str">
        <f>VLOOKUP(C579,SintéticoNC!$F$4:$G$83,2,FALSE)</f>
        <v>PRF RO</v>
      </c>
      <c r="C579" s="42" t="s">
        <v>128</v>
      </c>
      <c r="D579" s="23" t="s">
        <v>153</v>
      </c>
      <c r="E579" s="43" t="s">
        <v>12</v>
      </c>
      <c r="F579" s="50"/>
      <c r="G579" s="50">
        <f>I503*ÍndiceCorreçãoNC!$C$11</f>
        <v>0</v>
      </c>
      <c r="H579" s="50">
        <f t="shared" si="24"/>
        <v>0</v>
      </c>
      <c r="I579" s="50">
        <f t="shared" si="25"/>
        <v>46723.537455999998</v>
      </c>
      <c r="J579" s="106" t="str">
        <f t="shared" si="26"/>
        <v/>
      </c>
      <c r="K579" s="105"/>
    </row>
    <row r="580" spans="2:11" ht="12.95" customHeight="1" x14ac:dyDescent="0.25">
      <c r="B580" s="45" t="str">
        <f>VLOOKUP(C580,SintéticoNC!$F$4:$G$83,2,FALSE)</f>
        <v>Senador Confúcio Moura</v>
      </c>
      <c r="C580" s="42" t="s">
        <v>131</v>
      </c>
      <c r="D580" s="23" t="s">
        <v>153</v>
      </c>
      <c r="E580" s="43" t="s">
        <v>12</v>
      </c>
      <c r="F580" s="50"/>
      <c r="G580" s="50">
        <f>I504*ÍndiceCorreçãoNC!$C$11</f>
        <v>0</v>
      </c>
      <c r="H580" s="50">
        <f t="shared" si="24"/>
        <v>0</v>
      </c>
      <c r="I580" s="50">
        <f t="shared" si="25"/>
        <v>345423.16507887124</v>
      </c>
      <c r="J580" s="106" t="str">
        <f t="shared" si="26"/>
        <v/>
      </c>
      <c r="K580" s="105"/>
    </row>
    <row r="581" spans="2:11" ht="12.95" customHeight="1" x14ac:dyDescent="0.25">
      <c r="B581" s="45" t="str">
        <f>VLOOKUP(C581,SintéticoNC!$F$4:$G$83,2,FALSE)</f>
        <v>Sérgio Petecão</v>
      </c>
      <c r="C581" s="42" t="s">
        <v>134</v>
      </c>
      <c r="D581" s="23" t="s">
        <v>153</v>
      </c>
      <c r="E581" s="43" t="s">
        <v>12</v>
      </c>
      <c r="F581" s="50"/>
      <c r="G581" s="50">
        <f>I505*ÍndiceCorreçãoNC!$C$11</f>
        <v>0</v>
      </c>
      <c r="H581" s="50">
        <f t="shared" si="24"/>
        <v>0</v>
      </c>
      <c r="I581" s="50">
        <f t="shared" si="25"/>
        <v>286973.14753094001</v>
      </c>
      <c r="J581" s="106" t="str">
        <f t="shared" si="26"/>
        <v/>
      </c>
      <c r="K581" s="105"/>
    </row>
    <row r="582" spans="2:11" ht="12.95" customHeight="1" x14ac:dyDescent="0.25">
      <c r="B582" s="45" t="str">
        <f>VLOOKUP(C582,SintéticoNC!$F$4:$G$83,2,FALSE)</f>
        <v>Soraya Thronicke</v>
      </c>
      <c r="C582" s="42" t="s">
        <v>137</v>
      </c>
      <c r="D582" s="23" t="s">
        <v>153</v>
      </c>
      <c r="E582" s="43" t="s">
        <v>12</v>
      </c>
      <c r="F582" s="50"/>
      <c r="G582" s="50">
        <f>I506*ÍndiceCorreçãoNC!$C$11</f>
        <v>0</v>
      </c>
      <c r="H582" s="50">
        <f t="shared" si="24"/>
        <v>0</v>
      </c>
      <c r="I582" s="50">
        <f t="shared" si="25"/>
        <v>347405.61255000002</v>
      </c>
      <c r="J582" s="106" t="str">
        <f t="shared" si="26"/>
        <v/>
      </c>
      <c r="K582" s="105"/>
    </row>
    <row r="583" spans="2:11" ht="12.95" customHeight="1" x14ac:dyDescent="0.25">
      <c r="B583" s="45" t="str">
        <f>VLOOKUP(C583,SintéticoNC!$F$4:$G$83,2,FALSE)</f>
        <v>Uldurico Junior</v>
      </c>
      <c r="C583" s="42" t="s">
        <v>140</v>
      </c>
      <c r="D583" s="23" t="s">
        <v>153</v>
      </c>
      <c r="E583" s="43" t="s">
        <v>12</v>
      </c>
      <c r="F583" s="50"/>
      <c r="G583" s="50">
        <f>I507*ÍndiceCorreçãoNC!$C$11</f>
        <v>0</v>
      </c>
      <c r="H583" s="50">
        <f t="shared" si="24"/>
        <v>0</v>
      </c>
      <c r="I583" s="50">
        <f t="shared" si="25"/>
        <v>311154.59211000003</v>
      </c>
      <c r="J583" s="106" t="str">
        <f t="shared" si="26"/>
        <v/>
      </c>
      <c r="K583" s="105"/>
    </row>
    <row r="584" spans="2:11" ht="12.95" customHeight="1" x14ac:dyDescent="0.25">
      <c r="B584" s="45" t="str">
        <f>VLOOKUP(C584,SintéticoNC!$F$4:$G$83,2,FALSE)</f>
        <v>Bancada de Alagoas</v>
      </c>
      <c r="C584" s="42" t="s">
        <v>156</v>
      </c>
      <c r="D584" s="23" t="s">
        <v>216</v>
      </c>
      <c r="E584" s="43" t="s">
        <v>12</v>
      </c>
      <c r="F584" s="50"/>
      <c r="G584" s="50">
        <f>I508*ÍndiceCorreçãoNC!$C$11</f>
        <v>0</v>
      </c>
      <c r="H584" s="50">
        <f t="shared" si="24"/>
        <v>0</v>
      </c>
      <c r="I584" s="50">
        <f t="shared" si="25"/>
        <v>612239.45632</v>
      </c>
      <c r="J584" s="106" t="str">
        <f t="shared" si="26"/>
        <v/>
      </c>
      <c r="K584" s="105"/>
    </row>
    <row r="585" spans="2:11" ht="12.95" customHeight="1" x14ac:dyDescent="0.25">
      <c r="B585" s="45" t="str">
        <f>VLOOKUP(C585,SintéticoNC!$F$4:$G$83,2,FALSE)</f>
        <v>Bancada de Alagoas</v>
      </c>
      <c r="C585" s="42" t="s">
        <v>158</v>
      </c>
      <c r="D585" s="23" t="s">
        <v>216</v>
      </c>
      <c r="E585" s="43" t="s">
        <v>12</v>
      </c>
      <c r="F585" s="50"/>
      <c r="G585" s="50">
        <f>I509*ÍndiceCorreçãoNC!$C$11</f>
        <v>0</v>
      </c>
      <c r="H585" s="50">
        <f t="shared" si="24"/>
        <v>0</v>
      </c>
      <c r="I585" s="50">
        <f t="shared" si="25"/>
        <v>176220.23824999999</v>
      </c>
      <c r="J585" s="106" t="str">
        <f t="shared" si="26"/>
        <v/>
      </c>
      <c r="K585" s="105"/>
    </row>
    <row r="586" spans="2:11" ht="12.95" customHeight="1" x14ac:dyDescent="0.25">
      <c r="B586" s="45" t="str">
        <f>VLOOKUP(C586,SintéticoNC!$F$4:$G$83,2,FALSE)</f>
        <v>Bancada de Alagoas</v>
      </c>
      <c r="C586" s="42" t="s">
        <v>160</v>
      </c>
      <c r="D586" s="23" t="s">
        <v>216</v>
      </c>
      <c r="E586" s="43" t="s">
        <v>12</v>
      </c>
      <c r="F586" s="50"/>
      <c r="G586" s="50">
        <f>I510*ÍndiceCorreçãoNC!$C$11</f>
        <v>0</v>
      </c>
      <c r="H586" s="50">
        <f t="shared" si="24"/>
        <v>0</v>
      </c>
      <c r="I586" s="50">
        <f t="shared" si="25"/>
        <v>755229.59250000003</v>
      </c>
      <c r="J586" s="106" t="str">
        <f t="shared" si="26"/>
        <v/>
      </c>
      <c r="K586" s="105"/>
    </row>
    <row r="587" spans="2:11" ht="12.95" customHeight="1" x14ac:dyDescent="0.25">
      <c r="B587" s="45" t="str">
        <f>VLOOKUP(C587,SintéticoNC!$F$4:$G$83,2,FALSE)</f>
        <v>Bancada de Minas Gerais</v>
      </c>
      <c r="C587" s="42" t="s">
        <v>162</v>
      </c>
      <c r="D587" s="23" t="s">
        <v>216</v>
      </c>
      <c r="E587" s="43" t="s">
        <v>12</v>
      </c>
      <c r="F587" s="50"/>
      <c r="G587" s="50">
        <f>I511*ÍndiceCorreçãoNC!$C$11</f>
        <v>0</v>
      </c>
      <c r="H587" s="50">
        <f t="shared" si="24"/>
        <v>0</v>
      </c>
      <c r="I587" s="50">
        <f t="shared" si="25"/>
        <v>5236258.5080000004</v>
      </c>
      <c r="J587" s="106" t="str">
        <f t="shared" si="26"/>
        <v/>
      </c>
      <c r="K587" s="105"/>
    </row>
    <row r="588" spans="2:11" ht="12.95" customHeight="1" x14ac:dyDescent="0.25">
      <c r="B588" s="45" t="str">
        <f>VLOOKUP(C588,SintéticoNC!$F$4:$G$83,2,FALSE)</f>
        <v>Bancada de São Paulo</v>
      </c>
      <c r="C588" s="42" t="s">
        <v>164</v>
      </c>
      <c r="D588" s="23" t="s">
        <v>216</v>
      </c>
      <c r="E588" s="43" t="s">
        <v>12</v>
      </c>
      <c r="F588" s="50"/>
      <c r="G588" s="50">
        <f>I512*ÍndiceCorreçãoNC!$C$11</f>
        <v>0</v>
      </c>
      <c r="H588" s="50">
        <f t="shared" si="24"/>
        <v>0</v>
      </c>
      <c r="I588" s="50">
        <f t="shared" si="25"/>
        <v>700128.04143119999</v>
      </c>
      <c r="J588" s="106" t="str">
        <f t="shared" si="26"/>
        <v/>
      </c>
      <c r="K588" s="105"/>
    </row>
    <row r="589" spans="2:11" ht="12.95" customHeight="1" x14ac:dyDescent="0.25">
      <c r="B589" s="45" t="str">
        <f>VLOOKUP(C589,SintéticoNC!$F$4:$G$83,2,FALSE)</f>
        <v>Bancada do Espírito Santo</v>
      </c>
      <c r="C589" s="42" t="s">
        <v>166</v>
      </c>
      <c r="D589" s="23" t="s">
        <v>216</v>
      </c>
      <c r="E589" s="43" t="s">
        <v>12</v>
      </c>
      <c r="F589" s="50"/>
      <c r="G589" s="50">
        <f>I513*ÍndiceCorreçãoNC!$C$11</f>
        <v>0</v>
      </c>
      <c r="H589" s="50">
        <f t="shared" si="24"/>
        <v>0</v>
      </c>
      <c r="I589" s="50">
        <f t="shared" si="25"/>
        <v>788459.69457000005</v>
      </c>
      <c r="J589" s="106" t="str">
        <f t="shared" si="26"/>
        <v/>
      </c>
      <c r="K589" s="105"/>
    </row>
    <row r="590" spans="2:11" ht="12.95" customHeight="1" x14ac:dyDescent="0.25">
      <c r="B590" s="45" t="str">
        <f>VLOOKUP(C590,SintéticoNC!$F$4:$G$83,2,FALSE)</f>
        <v>Bancada do Espírito Santo</v>
      </c>
      <c r="C590" s="42" t="s">
        <v>168</v>
      </c>
      <c r="D590" s="23" t="s">
        <v>216</v>
      </c>
      <c r="E590" s="43" t="s">
        <v>12</v>
      </c>
      <c r="F590" s="50"/>
      <c r="G590" s="50">
        <f>I514*ÍndiceCorreçãoNC!$C$11</f>
        <v>0</v>
      </c>
      <c r="H590" s="50">
        <f t="shared" si="24"/>
        <v>0</v>
      </c>
      <c r="I590" s="50">
        <f t="shared" si="25"/>
        <v>846012.20733993209</v>
      </c>
      <c r="J590" s="106" t="str">
        <f t="shared" si="26"/>
        <v/>
      </c>
      <c r="K590" s="105"/>
    </row>
    <row r="591" spans="2:11" ht="12.95" customHeight="1" x14ac:dyDescent="0.25">
      <c r="B591" s="45" t="str">
        <f>VLOOKUP(C591,SintéticoNC!$F$4:$G$83,2,FALSE)</f>
        <v>Bancada do Pará</v>
      </c>
      <c r="C591" s="42" t="s">
        <v>170</v>
      </c>
      <c r="D591" s="23" t="s">
        <v>216</v>
      </c>
      <c r="E591" s="43" t="s">
        <v>12</v>
      </c>
      <c r="F591" s="50"/>
      <c r="G591" s="50">
        <f>I515*ÍndiceCorreçãoNC!$C$11</f>
        <v>0</v>
      </c>
      <c r="H591" s="50">
        <f t="shared" si="24"/>
        <v>0</v>
      </c>
      <c r="I591" s="50">
        <f t="shared" si="25"/>
        <v>185282.99335999999</v>
      </c>
      <c r="J591" s="106" t="str">
        <f t="shared" si="26"/>
        <v/>
      </c>
      <c r="K591" s="105"/>
    </row>
    <row r="592" spans="2:11" ht="12.95" customHeight="1" x14ac:dyDescent="0.25">
      <c r="B592" s="45" t="str">
        <f>VLOOKUP(C592,SintéticoNC!$F$4:$G$83,2,FALSE)</f>
        <v>Bancada do Pará</v>
      </c>
      <c r="C592" s="42" t="s">
        <v>172</v>
      </c>
      <c r="D592" s="23" t="s">
        <v>216</v>
      </c>
      <c r="E592" s="43" t="s">
        <v>12</v>
      </c>
      <c r="F592" s="50"/>
      <c r="G592" s="50">
        <f>I516*ÍndiceCorreçãoNC!$C$11</f>
        <v>0</v>
      </c>
      <c r="H592" s="50">
        <f t="shared" si="24"/>
        <v>0</v>
      </c>
      <c r="I592" s="50">
        <f t="shared" si="25"/>
        <v>314598.4390518</v>
      </c>
      <c r="J592" s="106" t="str">
        <f t="shared" si="26"/>
        <v/>
      </c>
      <c r="K592" s="105"/>
    </row>
    <row r="593" spans="2:11" ht="12.95" customHeight="1" x14ac:dyDescent="0.25">
      <c r="B593" s="45" t="str">
        <f>VLOOKUP(C593,SintéticoNC!$F$4:$G$83,2,FALSE)</f>
        <v>Coronel Chrisóstomo</v>
      </c>
      <c r="C593" s="42" t="s">
        <v>174</v>
      </c>
      <c r="D593" s="23" t="s">
        <v>216</v>
      </c>
      <c r="E593" s="43" t="s">
        <v>12</v>
      </c>
      <c r="F593" s="50"/>
      <c r="G593" s="50">
        <f>I517*ÍndiceCorreçãoNC!$C$11</f>
        <v>0</v>
      </c>
      <c r="H593" s="50">
        <f t="shared" si="24"/>
        <v>0</v>
      </c>
      <c r="I593" s="50">
        <f t="shared" si="25"/>
        <v>61928.826585000003</v>
      </c>
      <c r="J593" s="106" t="str">
        <f t="shared" si="26"/>
        <v/>
      </c>
      <c r="K593" s="105"/>
    </row>
    <row r="594" spans="2:11" ht="12.95" customHeight="1" x14ac:dyDescent="0.25">
      <c r="B594" s="45" t="str">
        <f>VLOOKUP(C594,SintéticoNC!$F$4:$G$83,2,FALSE)</f>
        <v>Dimas Fabiano</v>
      </c>
      <c r="C594" s="42" t="s">
        <v>176</v>
      </c>
      <c r="D594" s="23" t="s">
        <v>216</v>
      </c>
      <c r="E594" s="43" t="s">
        <v>12</v>
      </c>
      <c r="F594" s="50"/>
      <c r="G594" s="50">
        <f>I518*ÍndiceCorreçãoNC!$C$11</f>
        <v>0</v>
      </c>
      <c r="H594" s="50">
        <f t="shared" ref="H594:H657" si="27">IF(I518+G594&gt;F594,F594,I518+G594)</f>
        <v>0</v>
      </c>
      <c r="I594" s="50">
        <f t="shared" ref="I594:I657" si="28">IF(F594&gt;I518+G594,"",I518+G594-F594)</f>
        <v>93648.469469999996</v>
      </c>
      <c r="J594" s="106" t="str">
        <f t="shared" ref="J594:J657" si="29">IF(I594="",F594-(I518+G594),"")</f>
        <v/>
      </c>
      <c r="K594" s="105"/>
    </row>
    <row r="595" spans="2:11" ht="12.95" customHeight="1" x14ac:dyDescent="0.25">
      <c r="B595" s="45" t="str">
        <f>VLOOKUP(C595,SintéticoNC!$F$4:$G$83,2,FALSE)</f>
        <v>Edna Henrique</v>
      </c>
      <c r="C595" s="42" t="s">
        <v>178</v>
      </c>
      <c r="D595" s="23" t="s">
        <v>216</v>
      </c>
      <c r="E595" s="43" t="s">
        <v>12</v>
      </c>
      <c r="F595" s="50"/>
      <c r="G595" s="50">
        <f>I519*ÍndiceCorreçãoNC!$C$11</f>
        <v>0</v>
      </c>
      <c r="H595" s="50">
        <f t="shared" si="27"/>
        <v>0</v>
      </c>
      <c r="I595" s="50">
        <f t="shared" si="28"/>
        <v>92641.496679999997</v>
      </c>
      <c r="J595" s="106" t="str">
        <f t="shared" si="29"/>
        <v/>
      </c>
      <c r="K595" s="105"/>
    </row>
    <row r="596" spans="2:11" ht="12.95" customHeight="1" x14ac:dyDescent="0.25">
      <c r="B596" s="45" t="str">
        <f>VLOOKUP(C596,SintéticoNC!$F$4:$G$83,2,FALSE)</f>
        <v>Fabio Reis</v>
      </c>
      <c r="C596" s="42" t="s">
        <v>180</v>
      </c>
      <c r="D596" s="23" t="s">
        <v>216</v>
      </c>
      <c r="E596" s="43" t="s">
        <v>12</v>
      </c>
      <c r="F596" s="50"/>
      <c r="G596" s="50">
        <f>I520*ÍndiceCorreçãoNC!$C$11</f>
        <v>0</v>
      </c>
      <c r="H596" s="50">
        <f t="shared" si="27"/>
        <v>0</v>
      </c>
      <c r="I596" s="50">
        <f t="shared" si="28"/>
        <v>42172.020445200003</v>
      </c>
      <c r="J596" s="106" t="str">
        <f t="shared" si="29"/>
        <v/>
      </c>
      <c r="K596" s="105"/>
    </row>
    <row r="597" spans="2:11" ht="12.95" customHeight="1" x14ac:dyDescent="0.25">
      <c r="B597" s="45" t="str">
        <f>VLOOKUP(C597,SintéticoNC!$F$4:$G$83,2,FALSE)</f>
        <v>Flavia Arruda</v>
      </c>
      <c r="C597" s="42" t="s">
        <v>182</v>
      </c>
      <c r="D597" s="23" t="s">
        <v>216</v>
      </c>
      <c r="E597" s="43" t="s">
        <v>12</v>
      </c>
      <c r="F597" s="50"/>
      <c r="G597" s="50">
        <f>I521*ÍndiceCorreçãoNC!$C$11</f>
        <v>0</v>
      </c>
      <c r="H597" s="50">
        <f t="shared" si="27"/>
        <v>0</v>
      </c>
      <c r="I597" s="50">
        <f t="shared" si="28"/>
        <v>371113.77991776</v>
      </c>
      <c r="J597" s="106" t="str">
        <f t="shared" si="29"/>
        <v/>
      </c>
      <c r="K597" s="105"/>
    </row>
    <row r="598" spans="2:11" ht="12.95" customHeight="1" x14ac:dyDescent="0.25">
      <c r="B598" s="45" t="str">
        <f>VLOOKUP(C598,SintéticoNC!$F$4:$G$83,2,FALSE)</f>
        <v>General Girão</v>
      </c>
      <c r="C598" s="42" t="s">
        <v>184</v>
      </c>
      <c r="D598" s="23" t="s">
        <v>216</v>
      </c>
      <c r="E598" s="43" t="s">
        <v>12</v>
      </c>
      <c r="F598" s="50"/>
      <c r="G598" s="50">
        <f>I522*ÍndiceCorreçãoNC!$C$11</f>
        <v>0</v>
      </c>
      <c r="H598" s="50">
        <f t="shared" si="27"/>
        <v>0</v>
      </c>
      <c r="I598" s="50">
        <f t="shared" si="28"/>
        <v>93648.469469999996</v>
      </c>
      <c r="J598" s="106" t="str">
        <f t="shared" si="29"/>
        <v/>
      </c>
      <c r="K598" s="105"/>
    </row>
    <row r="599" spans="2:11" ht="12.95" customHeight="1" x14ac:dyDescent="0.25">
      <c r="B599" s="45" t="str">
        <f>VLOOKUP(C599,SintéticoNC!$F$4:$G$83,2,FALSE)</f>
        <v>José Nunes</v>
      </c>
      <c r="C599" s="42" t="s">
        <v>186</v>
      </c>
      <c r="D599" s="23" t="s">
        <v>216</v>
      </c>
      <c r="E599" s="43" t="s">
        <v>12</v>
      </c>
      <c r="F599" s="50"/>
      <c r="G599" s="50">
        <f>I523*ÍndiceCorreçãoNC!$C$11</f>
        <v>0</v>
      </c>
      <c r="H599" s="50">
        <f t="shared" si="27"/>
        <v>0</v>
      </c>
      <c r="I599" s="50">
        <f t="shared" si="28"/>
        <v>93648.469469999996</v>
      </c>
      <c r="J599" s="106" t="str">
        <f t="shared" si="29"/>
        <v/>
      </c>
      <c r="K599" s="105"/>
    </row>
    <row r="600" spans="2:11" ht="12.95" customHeight="1" x14ac:dyDescent="0.25">
      <c r="B600" s="45" t="str">
        <f>VLOOKUP(C600,SintéticoNC!$F$4:$G$83,2,FALSE)</f>
        <v>Josivaldo JP</v>
      </c>
      <c r="C600" s="42" t="s">
        <v>188</v>
      </c>
      <c r="D600" s="23" t="s">
        <v>216</v>
      </c>
      <c r="E600" s="43" t="s">
        <v>12</v>
      </c>
      <c r="F600" s="50"/>
      <c r="G600" s="50">
        <f>I524*ÍndiceCorreçãoNC!$C$11</f>
        <v>0</v>
      </c>
      <c r="H600" s="50">
        <f t="shared" si="27"/>
        <v>0</v>
      </c>
      <c r="I600" s="50">
        <f t="shared" si="28"/>
        <v>48334.693919999998</v>
      </c>
      <c r="J600" s="106" t="str">
        <f t="shared" si="29"/>
        <v/>
      </c>
      <c r="K600" s="105"/>
    </row>
    <row r="601" spans="2:11" ht="12.95" customHeight="1" x14ac:dyDescent="0.25">
      <c r="B601" s="45" t="str">
        <f>VLOOKUP(C601,SintéticoNC!$F$4:$G$83,2,FALSE)</f>
        <v>Junior Lourenço</v>
      </c>
      <c r="C601" s="42" t="s">
        <v>190</v>
      </c>
      <c r="D601" s="23" t="s">
        <v>216</v>
      </c>
      <c r="E601" s="43" t="s">
        <v>12</v>
      </c>
      <c r="F601" s="50"/>
      <c r="G601" s="50">
        <f>I525*ÍndiceCorreçãoNC!$C$11</f>
        <v>0</v>
      </c>
      <c r="H601" s="50">
        <f t="shared" si="27"/>
        <v>0</v>
      </c>
      <c r="I601" s="50">
        <f t="shared" si="28"/>
        <v>156080.78245</v>
      </c>
      <c r="J601" s="106" t="str">
        <f t="shared" si="29"/>
        <v/>
      </c>
      <c r="K601" s="105"/>
    </row>
    <row r="602" spans="2:11" ht="12.95" customHeight="1" x14ac:dyDescent="0.25">
      <c r="B602" s="45" t="str">
        <f>VLOOKUP(C602,SintéticoNC!$F$4:$G$83,2,FALSE)</f>
        <v>Leo de Brito</v>
      </c>
      <c r="C602" s="42" t="s">
        <v>192</v>
      </c>
      <c r="D602" s="23" t="s">
        <v>216</v>
      </c>
      <c r="E602" s="43" t="s">
        <v>12</v>
      </c>
      <c r="F602" s="50"/>
      <c r="G602" s="50">
        <f>I526*ÍndiceCorreçãoNC!$C$11</f>
        <v>0</v>
      </c>
      <c r="H602" s="50">
        <f t="shared" si="27"/>
        <v>0</v>
      </c>
      <c r="I602" s="50">
        <f t="shared" si="28"/>
        <v>171185.3743</v>
      </c>
      <c r="J602" s="106" t="str">
        <f t="shared" si="29"/>
        <v/>
      </c>
      <c r="K602" s="105"/>
    </row>
    <row r="603" spans="2:11" ht="12.95" customHeight="1" x14ac:dyDescent="0.25">
      <c r="B603" s="45" t="str">
        <f>VLOOKUP(C603,SintéticoNC!$F$4:$G$83,2,FALSE)</f>
        <v>Luciano Bivar</v>
      </c>
      <c r="C603" s="42" t="s">
        <v>194</v>
      </c>
      <c r="D603" s="23" t="s">
        <v>216</v>
      </c>
      <c r="E603" s="43" t="s">
        <v>12</v>
      </c>
      <c r="F603" s="50"/>
      <c r="G603" s="50">
        <f>I527*ÍndiceCorreçãoNC!$C$11</f>
        <v>0</v>
      </c>
      <c r="H603" s="50">
        <f t="shared" si="27"/>
        <v>0</v>
      </c>
      <c r="I603" s="50">
        <f t="shared" si="28"/>
        <v>93648.469469999996</v>
      </c>
      <c r="J603" s="106" t="str">
        <f t="shared" si="29"/>
        <v/>
      </c>
      <c r="K603" s="105"/>
    </row>
    <row r="604" spans="2:11" ht="12.95" customHeight="1" x14ac:dyDescent="0.25">
      <c r="B604" s="45" t="str">
        <f>VLOOKUP(C604,SintéticoNC!$F$4:$G$83,2,FALSE)</f>
        <v>Luis Tibé</v>
      </c>
      <c r="C604" s="42" t="s">
        <v>196</v>
      </c>
      <c r="D604" s="23" t="s">
        <v>216</v>
      </c>
      <c r="E604" s="43" t="s">
        <v>12</v>
      </c>
      <c r="F604" s="50"/>
      <c r="G604" s="50">
        <f>I528*ÍndiceCorreçãoNC!$C$11</f>
        <v>0</v>
      </c>
      <c r="H604" s="50">
        <f t="shared" si="27"/>
        <v>0</v>
      </c>
      <c r="I604" s="50">
        <f t="shared" si="28"/>
        <v>93648.469469999996</v>
      </c>
      <c r="J604" s="106" t="str">
        <f t="shared" si="29"/>
        <v/>
      </c>
      <c r="K604" s="105"/>
    </row>
    <row r="605" spans="2:11" ht="12.95" customHeight="1" x14ac:dyDescent="0.25">
      <c r="B605" s="45" t="str">
        <f>VLOOKUP(C605,SintéticoNC!$F$4:$G$83,2,FALSE)</f>
        <v>Mara Rocha</v>
      </c>
      <c r="C605" s="42" t="s">
        <v>198</v>
      </c>
      <c r="D605" s="23" t="s">
        <v>216</v>
      </c>
      <c r="E605" s="43" t="s">
        <v>12</v>
      </c>
      <c r="F605" s="50"/>
      <c r="G605" s="50">
        <f>I529*ÍndiceCorreçãoNC!$C$11</f>
        <v>0</v>
      </c>
      <c r="H605" s="50">
        <f t="shared" si="27"/>
        <v>0</v>
      </c>
      <c r="I605" s="50">
        <f t="shared" si="28"/>
        <v>171185.3743</v>
      </c>
      <c r="J605" s="106" t="str">
        <f t="shared" si="29"/>
        <v/>
      </c>
      <c r="K605" s="105"/>
    </row>
    <row r="606" spans="2:11" ht="12.95" customHeight="1" x14ac:dyDescent="0.25">
      <c r="B606" s="45" t="str">
        <f>VLOOKUP(C606,SintéticoNC!$F$4:$G$83,2,FALSE)</f>
        <v>Marx Beltrão</v>
      </c>
      <c r="C606" s="42" t="s">
        <v>200</v>
      </c>
      <c r="D606" s="23" t="s">
        <v>216</v>
      </c>
      <c r="E606" s="43" t="s">
        <v>12</v>
      </c>
      <c r="F606" s="50"/>
      <c r="G606" s="50">
        <f>I530*ÍndiceCorreçãoNC!$C$11</f>
        <v>0</v>
      </c>
      <c r="H606" s="50">
        <f t="shared" si="27"/>
        <v>0</v>
      </c>
      <c r="I606" s="50">
        <f t="shared" si="28"/>
        <v>93648.469469999996</v>
      </c>
      <c r="J606" s="106" t="str">
        <f t="shared" si="29"/>
        <v/>
      </c>
      <c r="K606" s="105"/>
    </row>
    <row r="607" spans="2:11" ht="12.95" customHeight="1" x14ac:dyDescent="0.25">
      <c r="B607" s="45" t="str">
        <f>VLOOKUP(C607,SintéticoNC!$F$4:$G$83,2,FALSE)</f>
        <v>Perpétua Almeida</v>
      </c>
      <c r="C607" s="42" t="s">
        <v>202</v>
      </c>
      <c r="D607" s="23" t="s">
        <v>216</v>
      </c>
      <c r="E607" s="43" t="s">
        <v>12</v>
      </c>
      <c r="F607" s="50"/>
      <c r="G607" s="50">
        <f>I531*ÍndiceCorreçãoNC!$C$11</f>
        <v>0</v>
      </c>
      <c r="H607" s="50">
        <f t="shared" si="27"/>
        <v>0</v>
      </c>
      <c r="I607" s="50">
        <f t="shared" si="28"/>
        <v>194341.72057884</v>
      </c>
      <c r="J607" s="106" t="str">
        <f t="shared" si="29"/>
        <v/>
      </c>
      <c r="K607" s="105"/>
    </row>
    <row r="608" spans="2:11" ht="12.95" customHeight="1" x14ac:dyDescent="0.25">
      <c r="B608" s="45" t="str">
        <f>VLOOKUP(C608,SintéticoNC!$F$4:$G$83,2,FALSE)</f>
        <v>Sérgio Petecão</v>
      </c>
      <c r="C608" s="42" t="s">
        <v>204</v>
      </c>
      <c r="D608" s="23" t="s">
        <v>216</v>
      </c>
      <c r="E608" s="43" t="s">
        <v>12</v>
      </c>
      <c r="F608" s="50"/>
      <c r="G608" s="50">
        <f>I532*ÍndiceCorreçãoNC!$C$11</f>
        <v>0</v>
      </c>
      <c r="H608" s="50">
        <f t="shared" si="27"/>
        <v>0</v>
      </c>
      <c r="I608" s="50">
        <f t="shared" si="28"/>
        <v>133538.68957305999</v>
      </c>
      <c r="J608" s="106" t="str">
        <f t="shared" si="29"/>
        <v/>
      </c>
      <c r="K608" s="105"/>
    </row>
    <row r="609" spans="2:11" ht="12.95" customHeight="1" x14ac:dyDescent="0.25">
      <c r="B609" s="45" t="str">
        <f>VLOOKUP(C609,SintéticoNC!$F$4:$G$83,2,FALSE)</f>
        <v>Uldurico Junior</v>
      </c>
      <c r="C609" s="42" t="s">
        <v>206</v>
      </c>
      <c r="D609" s="23" t="s">
        <v>216</v>
      </c>
      <c r="E609" s="43" t="s">
        <v>12</v>
      </c>
      <c r="F609" s="50"/>
      <c r="G609" s="50">
        <f>I533*ÍndiceCorreçãoNC!$C$11</f>
        <v>0</v>
      </c>
      <c r="H609" s="50">
        <f t="shared" si="27"/>
        <v>0</v>
      </c>
      <c r="I609" s="50">
        <f t="shared" si="28"/>
        <v>141983.16339</v>
      </c>
      <c r="J609" s="106" t="str">
        <f t="shared" si="29"/>
        <v/>
      </c>
      <c r="K609" s="105"/>
    </row>
    <row r="610" spans="2:11" ht="12.95" customHeight="1" x14ac:dyDescent="0.25">
      <c r="B610" s="45" t="str">
        <f>VLOOKUP(C610,SintéticoNC!$F$4:$G$83,2,FALSE)</f>
        <v>Soraya Thronicke</v>
      </c>
      <c r="C610" s="42" t="s">
        <v>208</v>
      </c>
      <c r="D610" s="23" t="s">
        <v>216</v>
      </c>
      <c r="E610" s="43" t="s">
        <v>12</v>
      </c>
      <c r="F610" s="50"/>
      <c r="G610" s="50">
        <f>I534*ÍndiceCorreçãoNC!$C$11</f>
        <v>0</v>
      </c>
      <c r="H610" s="50">
        <f t="shared" si="27"/>
        <v>0</v>
      </c>
      <c r="I610" s="50">
        <f t="shared" si="28"/>
        <v>156080.78245</v>
      </c>
      <c r="J610" s="106" t="str">
        <f t="shared" si="29"/>
        <v/>
      </c>
      <c r="K610" s="105"/>
    </row>
    <row r="611" spans="2:11" ht="12.95" customHeight="1" x14ac:dyDescent="0.25">
      <c r="B611" s="45" t="str">
        <f>VLOOKUP(C611,SintéticoNC!$F$4:$G$83,2,FALSE)</f>
        <v>MCom</v>
      </c>
      <c r="C611" s="42" t="s">
        <v>211</v>
      </c>
      <c r="D611" s="23" t="s">
        <v>216</v>
      </c>
      <c r="E611" s="43" t="s">
        <v>12</v>
      </c>
      <c r="F611" s="50"/>
      <c r="G611" s="50">
        <f>I535*ÍndiceCorreçãoNC!$C$11</f>
        <v>0</v>
      </c>
      <c r="H611" s="50">
        <f t="shared" si="27"/>
        <v>0</v>
      </c>
      <c r="I611" s="50">
        <f t="shared" si="28"/>
        <v>503486.39500000002</v>
      </c>
      <c r="J611" s="106" t="str">
        <f t="shared" si="29"/>
        <v/>
      </c>
      <c r="K611" s="105"/>
    </row>
    <row r="612" spans="2:11" ht="12.95" customHeight="1" x14ac:dyDescent="0.25">
      <c r="B612" s="45" t="str">
        <f>VLOOKUP(C612,SintéticoNC!$F$4:$G$83,2,FALSE)</f>
        <v>Cabo Junio Amaral</v>
      </c>
      <c r="C612" s="42" t="s">
        <v>213</v>
      </c>
      <c r="D612" s="23" t="s">
        <v>216</v>
      </c>
      <c r="E612" s="43" t="s">
        <v>12</v>
      </c>
      <c r="F612" s="50"/>
      <c r="G612" s="50">
        <f>I536*ÍndiceCorreçãoNC!$C$11</f>
        <v>0</v>
      </c>
      <c r="H612" s="50">
        <f t="shared" si="27"/>
        <v>0</v>
      </c>
      <c r="I612" s="50">
        <f t="shared" si="28"/>
        <v>93648.469469999996</v>
      </c>
      <c r="J612" s="106" t="str">
        <f t="shared" si="29"/>
        <v/>
      </c>
      <c r="K612" s="105"/>
    </row>
    <row r="613" spans="2:11" ht="12.95" customHeight="1" x14ac:dyDescent="0.25">
      <c r="B613" s="45" t="str">
        <f>VLOOKUP(C613,SintéticoNC!$F$4:$G$83,2,FALSE)</f>
        <v>Leur Lomanto</v>
      </c>
      <c r="C613" s="42" t="s">
        <v>215</v>
      </c>
      <c r="D613" s="23" t="s">
        <v>216</v>
      </c>
      <c r="E613" s="43" t="s">
        <v>12</v>
      </c>
      <c r="F613" s="50"/>
      <c r="G613" s="50">
        <f>I537*ÍndiceCorreçãoNC!$C$11</f>
        <v>0</v>
      </c>
      <c r="H613" s="50">
        <f t="shared" si="27"/>
        <v>0</v>
      </c>
      <c r="I613" s="50">
        <f t="shared" si="28"/>
        <v>28195.238120000002</v>
      </c>
      <c r="J613" s="106" t="str">
        <f t="shared" si="29"/>
        <v/>
      </c>
      <c r="K613" s="105"/>
    </row>
    <row r="614" spans="2:11" ht="12.95" customHeight="1" x14ac:dyDescent="0.25">
      <c r="B614" s="45" t="str">
        <f>VLOOKUP(C614,SintéticoNC!$F$4:$G$83,2,FALSE)</f>
        <v>Bancada de Alagoas</v>
      </c>
      <c r="C614" s="42" t="s">
        <v>141</v>
      </c>
      <c r="D614" s="23" t="s">
        <v>153</v>
      </c>
      <c r="E614" s="43" t="s">
        <v>13</v>
      </c>
      <c r="F614" s="50"/>
      <c r="G614" s="50">
        <f>I538*ÍndiceCorreçãoNC!$C$12</f>
        <v>0</v>
      </c>
      <c r="H614" s="50">
        <f t="shared" si="27"/>
        <v>0</v>
      </c>
      <c r="I614" s="50">
        <f t="shared" si="28"/>
        <v>1814033.9908278328</v>
      </c>
      <c r="J614" s="106" t="str">
        <f t="shared" si="29"/>
        <v/>
      </c>
      <c r="K614" s="105"/>
    </row>
    <row r="615" spans="2:11" ht="12.95" customHeight="1" x14ac:dyDescent="0.25">
      <c r="B615" s="45" t="str">
        <f>VLOOKUP(C615,SintéticoNC!$F$4:$G$83,2,FALSE)</f>
        <v>Bancada de Alagoas</v>
      </c>
      <c r="C615" s="42" t="s">
        <v>142</v>
      </c>
      <c r="D615" s="23" t="s">
        <v>153</v>
      </c>
      <c r="E615" s="43" t="s">
        <v>13</v>
      </c>
      <c r="F615" s="50"/>
      <c r="G615" s="50">
        <f>I539*ÍndiceCorreçãoNC!$C$12</f>
        <v>0</v>
      </c>
      <c r="H615" s="50">
        <f t="shared" si="27"/>
        <v>0</v>
      </c>
      <c r="I615" s="50">
        <f t="shared" si="28"/>
        <v>528056.53107599996</v>
      </c>
      <c r="J615" s="106" t="str">
        <f t="shared" si="29"/>
        <v/>
      </c>
      <c r="K615" s="105"/>
    </row>
    <row r="616" spans="2:11" ht="12.95" customHeight="1" x14ac:dyDescent="0.25">
      <c r="B616" s="45" t="str">
        <f>VLOOKUP(C616,SintéticoNC!$F$4:$G$83,2,FALSE)</f>
        <v>Bancada de Alagoas</v>
      </c>
      <c r="C616" s="42" t="s">
        <v>143</v>
      </c>
      <c r="D616" s="23" t="s">
        <v>153</v>
      </c>
      <c r="E616" s="43" t="s">
        <v>13</v>
      </c>
      <c r="F616" s="50"/>
      <c r="G616" s="50">
        <f>I540*ÍndiceCorreçãoNC!$C$12</f>
        <v>0</v>
      </c>
      <c r="H616" s="50">
        <f t="shared" si="27"/>
        <v>0</v>
      </c>
      <c r="I616" s="50">
        <f t="shared" si="28"/>
        <v>5262250.4896554798</v>
      </c>
      <c r="J616" s="106" t="str">
        <f t="shared" si="29"/>
        <v/>
      </c>
      <c r="K616" s="105"/>
    </row>
    <row r="617" spans="2:11" ht="12.95" customHeight="1" x14ac:dyDescent="0.25">
      <c r="B617" s="45" t="str">
        <f>VLOOKUP(C617,SintéticoNC!$F$4:$G$83,2,FALSE)</f>
        <v>Bancada de Minas Gerais</v>
      </c>
      <c r="C617" s="42" t="s">
        <v>144</v>
      </c>
      <c r="D617" s="23" t="s">
        <v>153</v>
      </c>
      <c r="E617" s="43" t="s">
        <v>13</v>
      </c>
      <c r="F617" s="50"/>
      <c r="G617" s="50">
        <f>I541*ÍndiceCorreçãoNC!$C$12</f>
        <v>0</v>
      </c>
      <c r="H617" s="50">
        <f t="shared" si="27"/>
        <v>0</v>
      </c>
      <c r="I617" s="50">
        <f t="shared" si="28"/>
        <v>13370850.949225677</v>
      </c>
      <c r="J617" s="106" t="str">
        <f t="shared" si="29"/>
        <v/>
      </c>
      <c r="K617" s="105"/>
    </row>
    <row r="618" spans="2:11" ht="12.95" customHeight="1" x14ac:dyDescent="0.25">
      <c r="B618" s="45" t="str">
        <f>VLOOKUP(C618,SintéticoNC!$F$4:$G$83,2,FALSE)</f>
        <v>Bancada de São Paulo</v>
      </c>
      <c r="C618" s="42" t="s">
        <v>145</v>
      </c>
      <c r="D618" s="23" t="s">
        <v>153</v>
      </c>
      <c r="E618" s="43" t="s">
        <v>13</v>
      </c>
      <c r="F618" s="50"/>
      <c r="G618" s="50">
        <f>I542*ÍndiceCorreçãoNC!$C$12</f>
        <v>0</v>
      </c>
      <c r="H618" s="50">
        <f t="shared" si="27"/>
        <v>0</v>
      </c>
      <c r="I618" s="50">
        <f t="shared" si="28"/>
        <v>1555533.3010259799</v>
      </c>
      <c r="J618" s="106" t="str">
        <f t="shared" si="29"/>
        <v/>
      </c>
      <c r="K618" s="105"/>
    </row>
    <row r="619" spans="2:11" ht="12.95" customHeight="1" x14ac:dyDescent="0.25">
      <c r="B619" s="45" t="str">
        <f>VLOOKUP(C619,SintéticoNC!$F$4:$G$83,2,FALSE)</f>
        <v>Bancada do Espírito Santo</v>
      </c>
      <c r="C619" s="42" t="s">
        <v>146</v>
      </c>
      <c r="D619" s="23" t="s">
        <v>153</v>
      </c>
      <c r="E619" s="43" t="s">
        <v>13</v>
      </c>
      <c r="F619" s="50"/>
      <c r="G619" s="50">
        <f>I543*ÍndiceCorreçãoNC!$C$12</f>
        <v>0</v>
      </c>
      <c r="H619" s="50">
        <f t="shared" si="27"/>
        <v>0</v>
      </c>
      <c r="I619" s="50">
        <f t="shared" si="28"/>
        <v>1420853.1473770875</v>
      </c>
      <c r="J619" s="106" t="str">
        <f t="shared" si="29"/>
        <v/>
      </c>
      <c r="K619" s="105"/>
    </row>
    <row r="620" spans="2:11" ht="12.95" customHeight="1" x14ac:dyDescent="0.25">
      <c r="B620" s="45" t="str">
        <f>VLOOKUP(C620,SintéticoNC!$F$4:$G$83,2,FALSE)</f>
        <v>Bancada do Espírito Santo</v>
      </c>
      <c r="C620" s="42" t="s">
        <v>147</v>
      </c>
      <c r="D620" s="23" t="s">
        <v>153</v>
      </c>
      <c r="E620" s="43" t="s">
        <v>13</v>
      </c>
      <c r="F620" s="50"/>
      <c r="G620" s="50">
        <f>I544*ÍndiceCorreçãoNC!$C$12</f>
        <v>0</v>
      </c>
      <c r="H620" s="50">
        <f t="shared" si="27"/>
        <v>0</v>
      </c>
      <c r="I620" s="50">
        <f t="shared" si="28"/>
        <v>2260653.9135500002</v>
      </c>
      <c r="J620" s="106" t="str">
        <f t="shared" si="29"/>
        <v/>
      </c>
      <c r="K620" s="105"/>
    </row>
    <row r="621" spans="2:11" ht="12.95" customHeight="1" x14ac:dyDescent="0.25">
      <c r="B621" s="45" t="str">
        <f>VLOOKUP(C621,SintéticoNC!$F$4:$G$83,2,FALSE)</f>
        <v>Bancada do Espírito Santo</v>
      </c>
      <c r="C621" s="42" t="s">
        <v>148</v>
      </c>
      <c r="D621" s="23" t="s">
        <v>153</v>
      </c>
      <c r="E621" s="43" t="s">
        <v>13</v>
      </c>
      <c r="F621" s="50"/>
      <c r="G621" s="50">
        <f>I545*ÍndiceCorreçãoNC!$C$12</f>
        <v>0</v>
      </c>
      <c r="H621" s="50">
        <f t="shared" si="27"/>
        <v>0</v>
      </c>
      <c r="I621" s="50">
        <f t="shared" si="28"/>
        <v>2771189.1180799999</v>
      </c>
      <c r="J621" s="106" t="str">
        <f t="shared" si="29"/>
        <v/>
      </c>
      <c r="K621" s="105"/>
    </row>
    <row r="622" spans="2:11" ht="12.95" customHeight="1" x14ac:dyDescent="0.25">
      <c r="B622" s="45" t="str">
        <f>VLOOKUP(C622,SintéticoNC!$F$4:$G$83,2,FALSE)</f>
        <v>Bancada do Maranhão</v>
      </c>
      <c r="C622" s="42" t="s">
        <v>149</v>
      </c>
      <c r="D622" s="23" t="s">
        <v>153</v>
      </c>
      <c r="E622" s="43" t="s">
        <v>13</v>
      </c>
      <c r="F622" s="50"/>
      <c r="G622" s="50">
        <f>I546*ÍndiceCorreçãoNC!$C$12</f>
        <v>0</v>
      </c>
      <c r="H622" s="50">
        <f t="shared" si="27"/>
        <v>0</v>
      </c>
      <c r="I622" s="50">
        <f t="shared" si="28"/>
        <v>755229.59250000003</v>
      </c>
      <c r="J622" s="106" t="str">
        <f t="shared" si="29"/>
        <v/>
      </c>
      <c r="K622" s="105"/>
    </row>
    <row r="623" spans="2:11" ht="12.95" customHeight="1" x14ac:dyDescent="0.25">
      <c r="B623" s="45" t="str">
        <f>VLOOKUP(C623,SintéticoNC!$F$4:$G$83,2,FALSE)</f>
        <v>Bancada do Pará</v>
      </c>
      <c r="C623" s="42" t="s">
        <v>152</v>
      </c>
      <c r="D623" s="23" t="s">
        <v>153</v>
      </c>
      <c r="E623" s="43" t="s">
        <v>13</v>
      </c>
      <c r="F623" s="50"/>
      <c r="G623" s="50">
        <f>I547*ÍndiceCorreçãoNC!$C$12</f>
        <v>0</v>
      </c>
      <c r="H623" s="50">
        <f t="shared" si="27"/>
        <v>0</v>
      </c>
      <c r="I623" s="50">
        <f t="shared" si="28"/>
        <v>493416.66710000002</v>
      </c>
      <c r="J623" s="106" t="str">
        <f t="shared" si="29"/>
        <v/>
      </c>
      <c r="K623" s="105"/>
    </row>
    <row r="624" spans="2:11" ht="12.95" customHeight="1" x14ac:dyDescent="0.25">
      <c r="B624" s="45" t="str">
        <f>VLOOKUP(C624,SintéticoNC!$F$4:$G$83,2,FALSE)</f>
        <v>Bancada do Pará</v>
      </c>
      <c r="C624" s="42" t="s">
        <v>151</v>
      </c>
      <c r="D624" s="23" t="s">
        <v>153</v>
      </c>
      <c r="E624" s="43" t="s">
        <v>13</v>
      </c>
      <c r="F624" s="50"/>
      <c r="G624" s="50">
        <f>I548*ÍndiceCorreçãoNC!$C$12</f>
        <v>0</v>
      </c>
      <c r="H624" s="50">
        <f t="shared" si="27"/>
        <v>0</v>
      </c>
      <c r="I624" s="50">
        <f t="shared" si="28"/>
        <v>837197.17760599998</v>
      </c>
      <c r="J624" s="106" t="str">
        <f t="shared" si="29"/>
        <v/>
      </c>
      <c r="K624" s="105"/>
    </row>
    <row r="625" spans="2:11" ht="12.95" customHeight="1" x14ac:dyDescent="0.25">
      <c r="B625" s="45" t="str">
        <f>VLOOKUP(C625,SintéticoNC!$F$4:$G$83,2,FALSE)</f>
        <v>Cabo Junio Amaral</v>
      </c>
      <c r="C625" s="42" t="s">
        <v>150</v>
      </c>
      <c r="D625" s="23" t="s">
        <v>153</v>
      </c>
      <c r="E625" s="43" t="s">
        <v>13</v>
      </c>
      <c r="F625" s="50"/>
      <c r="G625" s="50">
        <f>I549*ÍndiceCorreçãoNC!$C$12</f>
        <v>0</v>
      </c>
      <c r="H625" s="50">
        <f t="shared" si="27"/>
        <v>0</v>
      </c>
      <c r="I625" s="50">
        <f t="shared" si="28"/>
        <v>208443.36752999999</v>
      </c>
      <c r="J625" s="106" t="str">
        <f t="shared" si="29"/>
        <v/>
      </c>
      <c r="K625" s="105"/>
    </row>
    <row r="626" spans="2:11" ht="12.95" customHeight="1" x14ac:dyDescent="0.25">
      <c r="B626" s="45" t="str">
        <f>VLOOKUP(C626,SintéticoNC!$F$4:$G$83,2,FALSE)</f>
        <v>Celso Sabino</v>
      </c>
      <c r="C626" s="42" t="s">
        <v>44</v>
      </c>
      <c r="D626" s="23" t="s">
        <v>153</v>
      </c>
      <c r="E626" s="43" t="s">
        <v>13</v>
      </c>
      <c r="F626" s="50"/>
      <c r="G626" s="50">
        <f>I550*ÍndiceCorreçãoNC!$C$12</f>
        <v>0</v>
      </c>
      <c r="H626" s="50">
        <f t="shared" si="27"/>
        <v>0</v>
      </c>
      <c r="I626" s="50">
        <f t="shared" si="28"/>
        <v>97875.449220310911</v>
      </c>
      <c r="J626" s="106" t="str">
        <f t="shared" si="29"/>
        <v/>
      </c>
      <c r="K626" s="105"/>
    </row>
    <row r="627" spans="2:11" ht="12.95" customHeight="1" x14ac:dyDescent="0.25">
      <c r="B627" s="45" t="str">
        <f>VLOOKUP(C627,SintéticoNC!$F$4:$G$83,2,FALSE)</f>
        <v>Coronel Chrisóstomo</v>
      </c>
      <c r="C627" s="42" t="s">
        <v>47</v>
      </c>
      <c r="D627" s="23" t="s">
        <v>153</v>
      </c>
      <c r="E627" s="43" t="s">
        <v>13</v>
      </c>
      <c r="F627" s="50"/>
      <c r="G627" s="50">
        <f>I551*ÍndiceCorreçãoNC!$C$12</f>
        <v>0</v>
      </c>
      <c r="H627" s="50">
        <f t="shared" si="27"/>
        <v>0</v>
      </c>
      <c r="I627" s="50">
        <f t="shared" si="28"/>
        <v>139465.73141499999</v>
      </c>
      <c r="J627" s="106" t="str">
        <f t="shared" si="29"/>
        <v/>
      </c>
      <c r="K627" s="105"/>
    </row>
    <row r="628" spans="2:11" ht="12.95" customHeight="1" x14ac:dyDescent="0.25">
      <c r="B628" s="45" t="str">
        <f>VLOOKUP(C628,SintéticoNC!$F$4:$G$83,2,FALSE)</f>
        <v>Dimas Fabiano</v>
      </c>
      <c r="C628" s="42" t="s">
        <v>50</v>
      </c>
      <c r="D628" s="23" t="s">
        <v>153</v>
      </c>
      <c r="E628" s="43" t="s">
        <v>13</v>
      </c>
      <c r="F628" s="50"/>
      <c r="G628" s="50">
        <f>I552*ÍndiceCorreçãoNC!$C$12</f>
        <v>0</v>
      </c>
      <c r="H628" s="50">
        <f t="shared" si="27"/>
        <v>0</v>
      </c>
      <c r="I628" s="50">
        <f t="shared" si="28"/>
        <v>208443.36752999999</v>
      </c>
      <c r="J628" s="106" t="str">
        <f t="shared" si="29"/>
        <v/>
      </c>
      <c r="K628" s="105"/>
    </row>
    <row r="629" spans="2:11" ht="12.95" customHeight="1" x14ac:dyDescent="0.25">
      <c r="B629" s="45" t="str">
        <f>VLOOKUP(C629,SintéticoNC!$F$4:$G$83,2,FALSE)</f>
        <v>Edna Henrique</v>
      </c>
      <c r="C629" s="42" t="s">
        <v>53</v>
      </c>
      <c r="D629" s="23" t="s">
        <v>153</v>
      </c>
      <c r="E629" s="43" t="s">
        <v>13</v>
      </c>
      <c r="F629" s="50"/>
      <c r="G629" s="50">
        <f>I553*ÍndiceCorreçãoNC!$C$12</f>
        <v>0</v>
      </c>
      <c r="H629" s="50">
        <f t="shared" si="27"/>
        <v>0</v>
      </c>
      <c r="I629" s="50">
        <f t="shared" si="28"/>
        <v>209450.34031999999</v>
      </c>
      <c r="J629" s="106" t="str">
        <f t="shared" si="29"/>
        <v/>
      </c>
      <c r="K629" s="105"/>
    </row>
    <row r="630" spans="2:11" ht="12.95" customHeight="1" x14ac:dyDescent="0.25">
      <c r="B630" s="45" t="str">
        <f>VLOOKUP(C630,SintéticoNC!$F$4:$G$83,2,FALSE)</f>
        <v>Elias Vaz</v>
      </c>
      <c r="C630" s="42" t="s">
        <v>56</v>
      </c>
      <c r="D630" s="23" t="s">
        <v>153</v>
      </c>
      <c r="E630" s="43" t="s">
        <v>13</v>
      </c>
      <c r="F630" s="50"/>
      <c r="G630" s="50">
        <f>I554*ÍndiceCorreçãoNC!$C$12</f>
        <v>0</v>
      </c>
      <c r="H630" s="50">
        <f t="shared" si="27"/>
        <v>0</v>
      </c>
      <c r="I630" s="50">
        <f t="shared" si="28"/>
        <v>402789.11599999998</v>
      </c>
      <c r="J630" s="106" t="str">
        <f t="shared" si="29"/>
        <v/>
      </c>
      <c r="K630" s="105"/>
    </row>
    <row r="631" spans="2:11" ht="12.95" customHeight="1" x14ac:dyDescent="0.25">
      <c r="B631" s="45" t="str">
        <f>VLOOKUP(C631,SintéticoNC!$F$4:$G$83,2,FALSE)</f>
        <v>Expedito Netto</v>
      </c>
      <c r="C631" s="42" t="s">
        <v>59</v>
      </c>
      <c r="D631" s="23" t="s">
        <v>153</v>
      </c>
      <c r="E631" s="43" t="s">
        <v>13</v>
      </c>
      <c r="F631" s="50"/>
      <c r="G631" s="50">
        <f>I555*ÍndiceCorreçãoNC!$C$12</f>
        <v>0</v>
      </c>
      <c r="H631" s="50">
        <f t="shared" si="27"/>
        <v>0</v>
      </c>
      <c r="I631" s="50">
        <f t="shared" si="28"/>
        <v>283300.95943927957</v>
      </c>
      <c r="J631" s="106" t="str">
        <f t="shared" si="29"/>
        <v/>
      </c>
      <c r="K631" s="105"/>
    </row>
    <row r="632" spans="2:11" ht="12.95" customHeight="1" x14ac:dyDescent="0.25">
      <c r="B632" s="45" t="str">
        <f>VLOOKUP(C632,SintéticoNC!$F$4:$G$83,2,FALSE)</f>
        <v>Fabio Reis</v>
      </c>
      <c r="C632" s="42" t="s">
        <v>62</v>
      </c>
      <c r="D632" s="23" t="s">
        <v>153</v>
      </c>
      <c r="E632" s="43" t="s">
        <v>13</v>
      </c>
      <c r="F632" s="50"/>
      <c r="G632" s="50">
        <f>I556*ÍndiceCorreçãoNC!$C$12</f>
        <v>0</v>
      </c>
      <c r="H632" s="50">
        <f t="shared" si="27"/>
        <v>0</v>
      </c>
      <c r="I632" s="50">
        <f t="shared" si="28"/>
        <v>82156.865781336295</v>
      </c>
      <c r="J632" s="106" t="str">
        <f t="shared" si="29"/>
        <v/>
      </c>
      <c r="K632" s="105"/>
    </row>
    <row r="633" spans="2:11" ht="12.95" customHeight="1" x14ac:dyDescent="0.25">
      <c r="B633" s="45" t="str">
        <f>VLOOKUP(C633,SintéticoNC!$F$4:$G$83,2,FALSE)</f>
        <v>Flavia Arruda</v>
      </c>
      <c r="C633" s="42" t="s">
        <v>65</v>
      </c>
      <c r="D633" s="23" t="s">
        <v>153</v>
      </c>
      <c r="E633" s="43" t="s">
        <v>13</v>
      </c>
      <c r="F633" s="50"/>
      <c r="G633" s="50">
        <f>I557*ÍndiceCorreçãoNC!$C$12</f>
        <v>0</v>
      </c>
      <c r="H633" s="50">
        <f t="shared" si="27"/>
        <v>0</v>
      </c>
      <c r="I633" s="50">
        <f t="shared" si="28"/>
        <v>887563.63045465504</v>
      </c>
      <c r="J633" s="106" t="str">
        <f t="shared" si="29"/>
        <v/>
      </c>
      <c r="K633" s="105"/>
    </row>
    <row r="634" spans="2:11" ht="12.95" customHeight="1" x14ac:dyDescent="0.25">
      <c r="B634" s="45" t="str">
        <f>VLOOKUP(C634,SintéticoNC!$F$4:$G$83,2,FALSE)</f>
        <v>Flaviano Melo</v>
      </c>
      <c r="C634" s="42" t="s">
        <v>68</v>
      </c>
      <c r="D634" s="23" t="s">
        <v>153</v>
      </c>
      <c r="E634" s="43" t="s">
        <v>13</v>
      </c>
      <c r="F634" s="50"/>
      <c r="G634" s="50">
        <f>I558*ÍndiceCorreçãoNC!$C$12</f>
        <v>0</v>
      </c>
      <c r="H634" s="50">
        <f t="shared" si="27"/>
        <v>0</v>
      </c>
      <c r="I634" s="50">
        <f t="shared" si="28"/>
        <v>506301.91106029582</v>
      </c>
      <c r="J634" s="106" t="str">
        <f t="shared" si="29"/>
        <v/>
      </c>
      <c r="K634" s="105"/>
    </row>
    <row r="635" spans="2:11" ht="12.95" customHeight="1" x14ac:dyDescent="0.25">
      <c r="B635" s="45" t="str">
        <f>VLOOKUP(C635,SintéticoNC!$F$4:$G$83,2,FALSE)</f>
        <v>General Girão</v>
      </c>
      <c r="C635" s="42" t="s">
        <v>71</v>
      </c>
      <c r="D635" s="23" t="s">
        <v>153</v>
      </c>
      <c r="E635" s="43" t="s">
        <v>13</v>
      </c>
      <c r="F635" s="50"/>
      <c r="G635" s="50">
        <f>I559*ÍndiceCorreçãoNC!$C$12</f>
        <v>0</v>
      </c>
      <c r="H635" s="50">
        <f t="shared" si="27"/>
        <v>0</v>
      </c>
      <c r="I635" s="50">
        <f t="shared" si="28"/>
        <v>208443.36752999999</v>
      </c>
      <c r="J635" s="106" t="str">
        <f t="shared" si="29"/>
        <v/>
      </c>
      <c r="K635" s="105"/>
    </row>
    <row r="636" spans="2:11" ht="12.95" customHeight="1" x14ac:dyDescent="0.25">
      <c r="B636" s="45" t="str">
        <f>VLOOKUP(C636,SintéticoNC!$F$4:$G$83,2,FALSE)</f>
        <v>João Roma</v>
      </c>
      <c r="C636" s="42" t="s">
        <v>74</v>
      </c>
      <c r="D636" s="23" t="s">
        <v>153</v>
      </c>
      <c r="E636" s="43" t="s">
        <v>13</v>
      </c>
      <c r="F636" s="50"/>
      <c r="G636" s="50">
        <f>I560*ÍndiceCorreçãoNC!$C$12</f>
        <v>0</v>
      </c>
      <c r="H636" s="50">
        <f t="shared" si="27"/>
        <v>0</v>
      </c>
      <c r="I636" s="50">
        <f t="shared" si="28"/>
        <v>72671.020983889903</v>
      </c>
      <c r="J636" s="106" t="str">
        <f t="shared" si="29"/>
        <v/>
      </c>
      <c r="K636" s="105"/>
    </row>
    <row r="637" spans="2:11" ht="12.95" customHeight="1" x14ac:dyDescent="0.25">
      <c r="B637" s="45" t="str">
        <f>VLOOKUP(C637,SintéticoNC!$F$4:$G$83,2,FALSE)</f>
        <v>Joenia Wapichana</v>
      </c>
      <c r="C637" s="42" t="s">
        <v>77</v>
      </c>
      <c r="D637" s="23" t="s">
        <v>153</v>
      </c>
      <c r="E637" s="43" t="s">
        <v>13</v>
      </c>
      <c r="F637" s="50"/>
      <c r="G637" s="50">
        <f>I561*ÍndiceCorreçãoNC!$C$12</f>
        <v>0</v>
      </c>
      <c r="H637" s="50">
        <f t="shared" si="27"/>
        <v>0</v>
      </c>
      <c r="I637" s="50">
        <f t="shared" si="28"/>
        <v>9161.8613719917994</v>
      </c>
      <c r="J637" s="106" t="str">
        <f t="shared" si="29"/>
        <v/>
      </c>
      <c r="K637" s="105"/>
    </row>
    <row r="638" spans="2:11" ht="12.95" customHeight="1" x14ac:dyDescent="0.25">
      <c r="B638" s="45" t="str">
        <f>VLOOKUP(C638,SintéticoNC!$F$4:$G$83,2,FALSE)</f>
        <v>José Nunes</v>
      </c>
      <c r="C638" s="42" t="s">
        <v>80</v>
      </c>
      <c r="D638" s="23" t="s">
        <v>153</v>
      </c>
      <c r="E638" s="43" t="s">
        <v>13</v>
      </c>
      <c r="F638" s="50"/>
      <c r="G638" s="50">
        <f>I562*ÍndiceCorreçãoNC!$C$12</f>
        <v>0</v>
      </c>
      <c r="H638" s="50">
        <f t="shared" si="27"/>
        <v>0</v>
      </c>
      <c r="I638" s="50">
        <f t="shared" si="28"/>
        <v>208443.36752999999</v>
      </c>
      <c r="J638" s="106" t="str">
        <f t="shared" si="29"/>
        <v/>
      </c>
      <c r="K638" s="105"/>
    </row>
    <row r="639" spans="2:11" ht="12.95" customHeight="1" x14ac:dyDescent="0.25">
      <c r="B639" s="45" t="str">
        <f>VLOOKUP(C639,SintéticoNC!$F$4:$G$83,2,FALSE)</f>
        <v>Josivaldo JP</v>
      </c>
      <c r="C639" s="42" t="s">
        <v>83</v>
      </c>
      <c r="D639" s="23" t="s">
        <v>153</v>
      </c>
      <c r="E639" s="43" t="s">
        <v>13</v>
      </c>
      <c r="F639" s="50"/>
      <c r="G639" s="50">
        <f>I563*ÍndiceCorreçãoNC!$C$12</f>
        <v>0</v>
      </c>
      <c r="H639" s="50">
        <f t="shared" si="27"/>
        <v>0</v>
      </c>
      <c r="I639" s="50">
        <f t="shared" si="28"/>
        <v>102711.22457999999</v>
      </c>
      <c r="J639" s="106" t="str">
        <f t="shared" si="29"/>
        <v/>
      </c>
      <c r="K639" s="105"/>
    </row>
    <row r="640" spans="2:11" ht="12.95" customHeight="1" x14ac:dyDescent="0.25">
      <c r="B640" s="45" t="str">
        <f>VLOOKUP(C640,SintéticoNC!$F$4:$G$83,2,FALSE)</f>
        <v>Junior Lourenço</v>
      </c>
      <c r="C640" s="42" t="s">
        <v>86</v>
      </c>
      <c r="D640" s="23" t="s">
        <v>153</v>
      </c>
      <c r="E640" s="43" t="s">
        <v>13</v>
      </c>
      <c r="F640" s="50"/>
      <c r="G640" s="50">
        <f>I564*ÍndiceCorreçãoNC!$C$12</f>
        <v>0</v>
      </c>
      <c r="H640" s="50">
        <f t="shared" si="27"/>
        <v>0</v>
      </c>
      <c r="I640" s="50">
        <f t="shared" si="28"/>
        <v>347405.61255000002</v>
      </c>
      <c r="J640" s="106" t="str">
        <f t="shared" si="29"/>
        <v/>
      </c>
      <c r="K640" s="105"/>
    </row>
    <row r="641" spans="2:11" ht="12.95" customHeight="1" x14ac:dyDescent="0.25">
      <c r="B641" s="45" t="str">
        <f>VLOOKUP(C641,SintéticoNC!$F$4:$G$83,2,FALSE)</f>
        <v>Leo de Brito</v>
      </c>
      <c r="C641" s="42" t="s">
        <v>89</v>
      </c>
      <c r="D641" s="23" t="s">
        <v>153</v>
      </c>
      <c r="E641" s="43" t="s">
        <v>13</v>
      </c>
      <c r="F641" s="50"/>
      <c r="G641" s="50">
        <f>I565*ÍndiceCorreçãoNC!$C$12</f>
        <v>0</v>
      </c>
      <c r="H641" s="50">
        <f t="shared" si="27"/>
        <v>0</v>
      </c>
      <c r="I641" s="50">
        <f t="shared" si="28"/>
        <v>432998.29969999997</v>
      </c>
      <c r="J641" s="106" t="str">
        <f t="shared" si="29"/>
        <v/>
      </c>
      <c r="K641" s="105"/>
    </row>
    <row r="642" spans="2:11" ht="12.95" customHeight="1" x14ac:dyDescent="0.25">
      <c r="B642" s="45" t="str">
        <f>VLOOKUP(C642,SintéticoNC!$F$4:$G$83,2,FALSE)</f>
        <v>Leur Lomanto</v>
      </c>
      <c r="C642" s="42" t="s">
        <v>92</v>
      </c>
      <c r="D642" s="23" t="s">
        <v>153</v>
      </c>
      <c r="E642" s="43" t="s">
        <v>13</v>
      </c>
      <c r="F642" s="50"/>
      <c r="G642" s="50">
        <f>I566*ÍndiceCorreçãoNC!$C$12</f>
        <v>0</v>
      </c>
      <c r="H642" s="50">
        <f t="shared" si="27"/>
        <v>0</v>
      </c>
      <c r="I642" s="50">
        <f t="shared" si="28"/>
        <v>66563.217456416998</v>
      </c>
      <c r="J642" s="106" t="str">
        <f t="shared" si="29"/>
        <v/>
      </c>
      <c r="K642" s="105"/>
    </row>
    <row r="643" spans="2:11" ht="12.95" customHeight="1" x14ac:dyDescent="0.25">
      <c r="B643" s="45" t="str">
        <f>VLOOKUP(C643,SintéticoNC!$F$4:$G$83,2,FALSE)</f>
        <v>Luciano Bivar</v>
      </c>
      <c r="C643" s="42" t="s">
        <v>95</v>
      </c>
      <c r="D643" s="23" t="s">
        <v>153</v>
      </c>
      <c r="E643" s="43" t="s">
        <v>13</v>
      </c>
      <c r="F643" s="50"/>
      <c r="G643" s="50">
        <f>I567*ÍndiceCorreçãoNC!$C$12</f>
        <v>0</v>
      </c>
      <c r="H643" s="50">
        <f t="shared" si="27"/>
        <v>0</v>
      </c>
      <c r="I643" s="50">
        <f t="shared" si="28"/>
        <v>2492.2979341616001</v>
      </c>
      <c r="J643" s="106" t="str">
        <f t="shared" si="29"/>
        <v/>
      </c>
      <c r="K643" s="105"/>
    </row>
    <row r="644" spans="2:11" ht="12.95" customHeight="1" x14ac:dyDescent="0.25">
      <c r="B644" s="45" t="str">
        <f>VLOOKUP(C644,SintéticoNC!$F$4:$G$83,2,FALSE)</f>
        <v>Luis Tibé</v>
      </c>
      <c r="C644" s="42" t="s">
        <v>98</v>
      </c>
      <c r="D644" s="23" t="s">
        <v>153</v>
      </c>
      <c r="E644" s="43" t="s">
        <v>13</v>
      </c>
      <c r="F644" s="50"/>
      <c r="G644" s="50">
        <f>I568*ÍndiceCorreçãoNC!$C$12</f>
        <v>0</v>
      </c>
      <c r="H644" s="50">
        <f t="shared" si="27"/>
        <v>0</v>
      </c>
      <c r="I644" s="50">
        <f t="shared" si="28"/>
        <v>208443.36752999999</v>
      </c>
      <c r="J644" s="106" t="str">
        <f t="shared" si="29"/>
        <v/>
      </c>
      <c r="K644" s="105"/>
    </row>
    <row r="645" spans="2:11" ht="12.95" customHeight="1" x14ac:dyDescent="0.25">
      <c r="B645" s="45" t="str">
        <f>VLOOKUP(C645,SintéticoNC!$F$4:$G$83,2,FALSE)</f>
        <v>Mara Rocha</v>
      </c>
      <c r="C645" s="42" t="s">
        <v>101</v>
      </c>
      <c r="D645" s="23" t="s">
        <v>153</v>
      </c>
      <c r="E645" s="43" t="s">
        <v>13</v>
      </c>
      <c r="F645" s="50"/>
      <c r="G645" s="50">
        <f>I569*ÍndiceCorreçãoNC!$C$12</f>
        <v>0</v>
      </c>
      <c r="H645" s="50">
        <f t="shared" si="27"/>
        <v>0</v>
      </c>
      <c r="I645" s="50">
        <f t="shared" si="28"/>
        <v>411222.61381352897</v>
      </c>
      <c r="J645" s="106" t="str">
        <f t="shared" si="29"/>
        <v/>
      </c>
      <c r="K645" s="105"/>
    </row>
    <row r="646" spans="2:11" ht="12.95" customHeight="1" x14ac:dyDescent="0.25">
      <c r="B646" s="45" t="str">
        <f>VLOOKUP(C646,SintéticoNC!$F$4:$G$83,2,FALSE)</f>
        <v>Marx Beltrão</v>
      </c>
      <c r="C646" s="42" t="s">
        <v>104</v>
      </c>
      <c r="D646" s="23" t="s">
        <v>153</v>
      </c>
      <c r="E646" s="43" t="s">
        <v>13</v>
      </c>
      <c r="F646" s="50"/>
      <c r="G646" s="50">
        <f>I570*ÍndiceCorreçãoNC!$C$12</f>
        <v>0</v>
      </c>
      <c r="H646" s="50">
        <f t="shared" si="27"/>
        <v>0</v>
      </c>
      <c r="I646" s="50">
        <f t="shared" si="28"/>
        <v>208443.36752999999</v>
      </c>
      <c r="J646" s="106" t="str">
        <f t="shared" si="29"/>
        <v/>
      </c>
      <c r="K646" s="105"/>
    </row>
    <row r="647" spans="2:11" ht="12.95" customHeight="1" x14ac:dyDescent="0.25">
      <c r="B647" s="45" t="str">
        <f>VLOOKUP(C647,SintéticoNC!$F$4:$G$83,2,FALSE)</f>
        <v>Ministério das Comunicações</v>
      </c>
      <c r="C647" s="42" t="s">
        <v>107</v>
      </c>
      <c r="D647" s="23" t="s">
        <v>153</v>
      </c>
      <c r="E647" s="43" t="s">
        <v>13</v>
      </c>
      <c r="F647" s="50"/>
      <c r="G647" s="50">
        <f>I571*ÍndiceCorreçãoNC!$C$12</f>
        <v>0</v>
      </c>
      <c r="H647" s="50">
        <f t="shared" si="27"/>
        <v>0</v>
      </c>
      <c r="I647" s="50">
        <f t="shared" si="28"/>
        <v>15499755.251688881</v>
      </c>
      <c r="J647" s="106" t="str">
        <f t="shared" si="29"/>
        <v/>
      </c>
      <c r="K647" s="105"/>
    </row>
    <row r="648" spans="2:11" ht="12.95" customHeight="1" x14ac:dyDescent="0.25">
      <c r="B648" s="45" t="str">
        <f>VLOOKUP(C648,SintéticoNC!$F$4:$G$83,2,FALSE)</f>
        <v>Ministério das Comunicações</v>
      </c>
      <c r="C648" s="42" t="s">
        <v>109</v>
      </c>
      <c r="D648" s="23" t="s">
        <v>153</v>
      </c>
      <c r="E648" s="43" t="s">
        <v>13</v>
      </c>
      <c r="F648" s="50"/>
      <c r="G648" s="50">
        <f>I572*ÍndiceCorreçãoNC!$C$12</f>
        <v>0</v>
      </c>
      <c r="H648" s="50">
        <f t="shared" si="27"/>
        <v>0</v>
      </c>
      <c r="I648" s="50">
        <f t="shared" si="28"/>
        <v>3713715.64952</v>
      </c>
      <c r="J648" s="106" t="str">
        <f t="shared" si="29"/>
        <v/>
      </c>
      <c r="K648" s="105"/>
    </row>
    <row r="649" spans="2:11" ht="12.95" customHeight="1" x14ac:dyDescent="0.25">
      <c r="B649" s="45" t="str">
        <f>VLOOKUP(C649,SintéticoNC!$F$4:$G$83,2,FALSE)</f>
        <v>Ministério das Comunicações</v>
      </c>
      <c r="C649" s="42" t="s">
        <v>111</v>
      </c>
      <c r="D649" s="23" t="s">
        <v>153</v>
      </c>
      <c r="E649" s="43" t="s">
        <v>13</v>
      </c>
      <c r="F649" s="50"/>
      <c r="G649" s="50">
        <f>I573*ÍndiceCorreçãoNC!$C$12</f>
        <v>0</v>
      </c>
      <c r="H649" s="50">
        <f t="shared" si="27"/>
        <v>0</v>
      </c>
      <c r="I649" s="50">
        <f t="shared" si="28"/>
        <v>10069727.9</v>
      </c>
      <c r="J649" s="106" t="str">
        <f t="shared" si="29"/>
        <v/>
      </c>
      <c r="K649" s="105"/>
    </row>
    <row r="650" spans="2:11" ht="12.95" customHeight="1" x14ac:dyDescent="0.25">
      <c r="B650" s="45" t="str">
        <f>VLOOKUP(C650,SintéticoNC!$F$4:$G$83,2,FALSE)</f>
        <v>Ministério da Educação</v>
      </c>
      <c r="C650" s="42" t="s">
        <v>114</v>
      </c>
      <c r="D650" s="23" t="s">
        <v>153</v>
      </c>
      <c r="E650" s="43" t="s">
        <v>13</v>
      </c>
      <c r="F650" s="50"/>
      <c r="G650" s="50">
        <f>I574*ÍndiceCorreçãoNC!$C$12</f>
        <v>0</v>
      </c>
      <c r="H650" s="50">
        <f t="shared" si="27"/>
        <v>0</v>
      </c>
      <c r="I650" s="50">
        <f t="shared" si="28"/>
        <v>16980781.538382418</v>
      </c>
      <c r="J650" s="106" t="str">
        <f t="shared" si="29"/>
        <v/>
      </c>
      <c r="K650" s="105"/>
    </row>
    <row r="651" spans="2:11" ht="12.95" customHeight="1" x14ac:dyDescent="0.25">
      <c r="B651" s="45" t="str">
        <f>VLOOKUP(C651,SintéticoNC!$F$4:$G$83,2,FALSE)</f>
        <v>Ministério da Educação</v>
      </c>
      <c r="C651" s="42" t="s">
        <v>116</v>
      </c>
      <c r="D651" s="23" t="s">
        <v>153</v>
      </c>
      <c r="E651" s="43" t="s">
        <v>13</v>
      </c>
      <c r="F651" s="50"/>
      <c r="G651" s="50">
        <f>I575*ÍndiceCorreçãoNC!$C$12</f>
        <v>0</v>
      </c>
      <c r="H651" s="50">
        <f t="shared" si="27"/>
        <v>0</v>
      </c>
      <c r="I651" s="50">
        <f t="shared" si="28"/>
        <v>3706666.8399899998</v>
      </c>
      <c r="J651" s="106" t="str">
        <f t="shared" si="29"/>
        <v/>
      </c>
      <c r="K651" s="105"/>
    </row>
    <row r="652" spans="2:11" ht="12.95" customHeight="1" x14ac:dyDescent="0.25">
      <c r="B652" s="45" t="str">
        <f>VLOOKUP(C652,SintéticoNC!$F$4:$G$83,2,FALSE)</f>
        <v>Ministério da Justiça</v>
      </c>
      <c r="C652" s="42" t="s">
        <v>119</v>
      </c>
      <c r="D652" s="23" t="s">
        <v>153</v>
      </c>
      <c r="E652" s="43" t="s">
        <v>13</v>
      </c>
      <c r="F652" s="50"/>
      <c r="G652" s="50">
        <f>I576*ÍndiceCorreçãoNC!$C$12</f>
        <v>0</v>
      </c>
      <c r="H652" s="50">
        <f t="shared" si="27"/>
        <v>0</v>
      </c>
      <c r="I652" s="50">
        <f t="shared" si="28"/>
        <v>630294.98193109501</v>
      </c>
      <c r="J652" s="106" t="str">
        <f t="shared" si="29"/>
        <v/>
      </c>
      <c r="K652" s="105"/>
    </row>
    <row r="653" spans="2:11" ht="12.95" customHeight="1" x14ac:dyDescent="0.25">
      <c r="B653" s="45" t="str">
        <f>VLOOKUP(C653,SintéticoNC!$F$4:$G$83,2,FALSE)</f>
        <v>Ministério do Meio Ambiente</v>
      </c>
      <c r="C653" s="42" t="s">
        <v>122</v>
      </c>
      <c r="D653" s="23" t="s">
        <v>153</v>
      </c>
      <c r="E653" s="43" t="s">
        <v>13</v>
      </c>
      <c r="F653" s="50"/>
      <c r="G653" s="50">
        <f>I577*ÍndiceCorreçãoNC!$C$12</f>
        <v>0</v>
      </c>
      <c r="H653" s="50">
        <f t="shared" si="27"/>
        <v>0</v>
      </c>
      <c r="I653" s="50">
        <f t="shared" si="28"/>
        <v>108551.66676199999</v>
      </c>
      <c r="J653" s="106" t="str">
        <f t="shared" si="29"/>
        <v/>
      </c>
      <c r="K653" s="105"/>
    </row>
    <row r="654" spans="2:11" ht="12.95" customHeight="1" x14ac:dyDescent="0.25">
      <c r="B654" s="45" t="str">
        <f>VLOOKUP(C654,SintéticoNC!$F$4:$G$83,2,FALSE)</f>
        <v>Perpétua Almeida</v>
      </c>
      <c r="C654" s="42" t="s">
        <v>125</v>
      </c>
      <c r="D654" s="23" t="s">
        <v>153</v>
      </c>
      <c r="E654" s="43" t="s">
        <v>13</v>
      </c>
      <c r="F654" s="50"/>
      <c r="G654" s="50">
        <f>I578*ÍndiceCorreçãoNC!$C$12</f>
        <v>0</v>
      </c>
      <c r="H654" s="50">
        <f t="shared" si="27"/>
        <v>0</v>
      </c>
      <c r="I654" s="50">
        <f t="shared" si="28"/>
        <v>416886.73505999998</v>
      </c>
      <c r="J654" s="106" t="str">
        <f t="shared" si="29"/>
        <v/>
      </c>
      <c r="K654" s="105"/>
    </row>
    <row r="655" spans="2:11" ht="12.95" customHeight="1" x14ac:dyDescent="0.25">
      <c r="B655" s="45" t="str">
        <f>VLOOKUP(C655,SintéticoNC!$F$4:$G$83,2,FALSE)</f>
        <v>PRF RO</v>
      </c>
      <c r="C655" s="42" t="s">
        <v>128</v>
      </c>
      <c r="D655" s="23" t="s">
        <v>153</v>
      </c>
      <c r="E655" s="43" t="s">
        <v>13</v>
      </c>
      <c r="F655" s="50"/>
      <c r="G655" s="50">
        <f>I579*ÍndiceCorreçãoNC!$C$12</f>
        <v>0</v>
      </c>
      <c r="H655" s="50">
        <f t="shared" si="27"/>
        <v>0</v>
      </c>
      <c r="I655" s="50">
        <f t="shared" si="28"/>
        <v>46723.537455999998</v>
      </c>
      <c r="J655" s="106" t="str">
        <f t="shared" si="29"/>
        <v/>
      </c>
      <c r="K655" s="105"/>
    </row>
    <row r="656" spans="2:11" ht="12.95" customHeight="1" x14ac:dyDescent="0.25">
      <c r="B656" s="45" t="str">
        <f>VLOOKUP(C656,SintéticoNC!$F$4:$G$83,2,FALSE)</f>
        <v>Senador Confúcio Moura</v>
      </c>
      <c r="C656" s="42" t="s">
        <v>131</v>
      </c>
      <c r="D656" s="23" t="s">
        <v>153</v>
      </c>
      <c r="E656" s="43" t="s">
        <v>13</v>
      </c>
      <c r="F656" s="50"/>
      <c r="G656" s="50">
        <f>I580*ÍndiceCorreçãoNC!$C$12</f>
        <v>0</v>
      </c>
      <c r="H656" s="50">
        <f t="shared" si="27"/>
        <v>0</v>
      </c>
      <c r="I656" s="50">
        <f t="shared" si="28"/>
        <v>345423.16507887124</v>
      </c>
      <c r="J656" s="106" t="str">
        <f t="shared" si="29"/>
        <v/>
      </c>
      <c r="K656" s="105"/>
    </row>
    <row r="657" spans="2:11" ht="12.95" customHeight="1" x14ac:dyDescent="0.25">
      <c r="B657" s="45" t="str">
        <f>VLOOKUP(C657,SintéticoNC!$F$4:$G$83,2,FALSE)</f>
        <v>Sérgio Petecão</v>
      </c>
      <c r="C657" s="42" t="s">
        <v>134</v>
      </c>
      <c r="D657" s="23" t="s">
        <v>153</v>
      </c>
      <c r="E657" s="43" t="s">
        <v>13</v>
      </c>
      <c r="F657" s="50"/>
      <c r="G657" s="50">
        <f>I581*ÍndiceCorreçãoNC!$C$12</f>
        <v>0</v>
      </c>
      <c r="H657" s="50">
        <f t="shared" si="27"/>
        <v>0</v>
      </c>
      <c r="I657" s="50">
        <f t="shared" si="28"/>
        <v>286973.14753094001</v>
      </c>
      <c r="J657" s="106" t="str">
        <f t="shared" si="29"/>
        <v/>
      </c>
      <c r="K657" s="105"/>
    </row>
    <row r="658" spans="2:11" ht="12.95" customHeight="1" x14ac:dyDescent="0.25">
      <c r="B658" s="45" t="str">
        <f>VLOOKUP(C658,SintéticoNC!$F$4:$G$83,2,FALSE)</f>
        <v>Soraya Thronicke</v>
      </c>
      <c r="C658" s="42" t="s">
        <v>137</v>
      </c>
      <c r="D658" s="23" t="s">
        <v>153</v>
      </c>
      <c r="E658" s="43" t="s">
        <v>13</v>
      </c>
      <c r="F658" s="50"/>
      <c r="G658" s="50">
        <f>I582*ÍndiceCorreçãoNC!$C$12</f>
        <v>0</v>
      </c>
      <c r="H658" s="50">
        <f t="shared" ref="H658:H721" si="30">IF(I582+G658&gt;F658,F658,I582+G658)</f>
        <v>0</v>
      </c>
      <c r="I658" s="50">
        <f t="shared" ref="I658:I721" si="31">IF(F658&gt;I582+G658,"",I582+G658-F658)</f>
        <v>347405.61255000002</v>
      </c>
      <c r="J658" s="106" t="str">
        <f t="shared" ref="J658:J721" si="32">IF(I658="",F658-(I582+G658),"")</f>
        <v/>
      </c>
      <c r="K658" s="105"/>
    </row>
    <row r="659" spans="2:11" ht="12.95" customHeight="1" x14ac:dyDescent="0.25">
      <c r="B659" s="45" t="str">
        <f>VLOOKUP(C659,SintéticoNC!$F$4:$G$83,2,FALSE)</f>
        <v>Uldurico Junior</v>
      </c>
      <c r="C659" s="42" t="s">
        <v>140</v>
      </c>
      <c r="D659" s="23" t="s">
        <v>153</v>
      </c>
      <c r="E659" s="43" t="s">
        <v>13</v>
      </c>
      <c r="F659" s="50"/>
      <c r="G659" s="50">
        <f>I583*ÍndiceCorreçãoNC!$C$12</f>
        <v>0</v>
      </c>
      <c r="H659" s="50">
        <f t="shared" si="30"/>
        <v>0</v>
      </c>
      <c r="I659" s="50">
        <f t="shared" si="31"/>
        <v>311154.59211000003</v>
      </c>
      <c r="J659" s="106" t="str">
        <f t="shared" si="32"/>
        <v/>
      </c>
      <c r="K659" s="105"/>
    </row>
    <row r="660" spans="2:11" ht="12.95" customHeight="1" x14ac:dyDescent="0.25">
      <c r="B660" s="45" t="str">
        <f>VLOOKUP(C660,SintéticoNC!$F$4:$G$83,2,FALSE)</f>
        <v>Bancada de Alagoas</v>
      </c>
      <c r="C660" s="42" t="s">
        <v>156</v>
      </c>
      <c r="D660" s="23" t="s">
        <v>216</v>
      </c>
      <c r="E660" s="43" t="s">
        <v>13</v>
      </c>
      <c r="F660" s="50"/>
      <c r="G660" s="50">
        <f>I584*ÍndiceCorreçãoNC!$C$12</f>
        <v>0</v>
      </c>
      <c r="H660" s="50">
        <f t="shared" si="30"/>
        <v>0</v>
      </c>
      <c r="I660" s="50">
        <f t="shared" si="31"/>
        <v>612239.45632</v>
      </c>
      <c r="J660" s="106" t="str">
        <f t="shared" si="32"/>
        <v/>
      </c>
      <c r="K660" s="105"/>
    </row>
    <row r="661" spans="2:11" ht="12.95" customHeight="1" x14ac:dyDescent="0.25">
      <c r="B661" s="45" t="str">
        <f>VLOOKUP(C661,SintéticoNC!$F$4:$G$83,2,FALSE)</f>
        <v>Bancada de Alagoas</v>
      </c>
      <c r="C661" s="42" t="s">
        <v>158</v>
      </c>
      <c r="D661" s="23" t="s">
        <v>216</v>
      </c>
      <c r="E661" s="43" t="s">
        <v>13</v>
      </c>
      <c r="F661" s="50"/>
      <c r="G661" s="50">
        <f>I585*ÍndiceCorreçãoNC!$C$12</f>
        <v>0</v>
      </c>
      <c r="H661" s="50">
        <f t="shared" si="30"/>
        <v>0</v>
      </c>
      <c r="I661" s="50">
        <f t="shared" si="31"/>
        <v>176220.23824999999</v>
      </c>
      <c r="J661" s="106" t="str">
        <f t="shared" si="32"/>
        <v/>
      </c>
      <c r="K661" s="105"/>
    </row>
    <row r="662" spans="2:11" ht="12.95" customHeight="1" x14ac:dyDescent="0.25">
      <c r="B662" s="45" t="str">
        <f>VLOOKUP(C662,SintéticoNC!$F$4:$G$83,2,FALSE)</f>
        <v>Bancada de Alagoas</v>
      </c>
      <c r="C662" s="42" t="s">
        <v>160</v>
      </c>
      <c r="D662" s="23" t="s">
        <v>216</v>
      </c>
      <c r="E662" s="43" t="s">
        <v>13</v>
      </c>
      <c r="F662" s="50"/>
      <c r="G662" s="50">
        <f>I586*ÍndiceCorreçãoNC!$C$12</f>
        <v>0</v>
      </c>
      <c r="H662" s="50">
        <f t="shared" si="30"/>
        <v>0</v>
      </c>
      <c r="I662" s="50">
        <f t="shared" si="31"/>
        <v>755229.59250000003</v>
      </c>
      <c r="J662" s="106" t="str">
        <f t="shared" si="32"/>
        <v/>
      </c>
      <c r="K662" s="105"/>
    </row>
    <row r="663" spans="2:11" ht="12.95" customHeight="1" x14ac:dyDescent="0.25">
      <c r="B663" s="45" t="str">
        <f>VLOOKUP(C663,SintéticoNC!$F$4:$G$83,2,FALSE)</f>
        <v>Bancada de Minas Gerais</v>
      </c>
      <c r="C663" s="42" t="s">
        <v>162</v>
      </c>
      <c r="D663" s="23" t="s">
        <v>216</v>
      </c>
      <c r="E663" s="43" t="s">
        <v>13</v>
      </c>
      <c r="F663" s="50"/>
      <c r="G663" s="50">
        <f>I587*ÍndiceCorreçãoNC!$C$12</f>
        <v>0</v>
      </c>
      <c r="H663" s="50">
        <f t="shared" si="30"/>
        <v>0</v>
      </c>
      <c r="I663" s="50">
        <f t="shared" si="31"/>
        <v>5236258.5080000004</v>
      </c>
      <c r="J663" s="106" t="str">
        <f t="shared" si="32"/>
        <v/>
      </c>
      <c r="K663" s="105"/>
    </row>
    <row r="664" spans="2:11" ht="12.95" customHeight="1" x14ac:dyDescent="0.25">
      <c r="B664" s="45" t="str">
        <f>VLOOKUP(C664,SintéticoNC!$F$4:$G$83,2,FALSE)</f>
        <v>Bancada de São Paulo</v>
      </c>
      <c r="C664" s="42" t="s">
        <v>164</v>
      </c>
      <c r="D664" s="23" t="s">
        <v>216</v>
      </c>
      <c r="E664" s="43" t="s">
        <v>13</v>
      </c>
      <c r="F664" s="50"/>
      <c r="G664" s="50">
        <f>I588*ÍndiceCorreçãoNC!$C$12</f>
        <v>0</v>
      </c>
      <c r="H664" s="50">
        <f t="shared" si="30"/>
        <v>0</v>
      </c>
      <c r="I664" s="50">
        <f t="shared" si="31"/>
        <v>700128.04143119999</v>
      </c>
      <c r="J664" s="106" t="str">
        <f t="shared" si="32"/>
        <v/>
      </c>
      <c r="K664" s="105"/>
    </row>
    <row r="665" spans="2:11" ht="12.95" customHeight="1" x14ac:dyDescent="0.25">
      <c r="B665" s="45" t="str">
        <f>VLOOKUP(C665,SintéticoNC!$F$4:$G$83,2,FALSE)</f>
        <v>Bancada do Espírito Santo</v>
      </c>
      <c r="C665" s="42" t="s">
        <v>166</v>
      </c>
      <c r="D665" s="23" t="s">
        <v>216</v>
      </c>
      <c r="E665" s="43" t="s">
        <v>13</v>
      </c>
      <c r="F665" s="50"/>
      <c r="G665" s="50">
        <f>I589*ÍndiceCorreçãoNC!$C$12</f>
        <v>0</v>
      </c>
      <c r="H665" s="50">
        <f t="shared" si="30"/>
        <v>0</v>
      </c>
      <c r="I665" s="50">
        <f t="shared" si="31"/>
        <v>788459.69457000005</v>
      </c>
      <c r="J665" s="106" t="str">
        <f t="shared" si="32"/>
        <v/>
      </c>
      <c r="K665" s="105"/>
    </row>
    <row r="666" spans="2:11" ht="12.95" customHeight="1" x14ac:dyDescent="0.25">
      <c r="B666" s="45" t="str">
        <f>VLOOKUP(C666,SintéticoNC!$F$4:$G$83,2,FALSE)</f>
        <v>Bancada do Espírito Santo</v>
      </c>
      <c r="C666" s="42" t="s">
        <v>168</v>
      </c>
      <c r="D666" s="23" t="s">
        <v>216</v>
      </c>
      <c r="E666" s="43" t="s">
        <v>13</v>
      </c>
      <c r="F666" s="50"/>
      <c r="G666" s="50">
        <f>I590*ÍndiceCorreçãoNC!$C$12</f>
        <v>0</v>
      </c>
      <c r="H666" s="50">
        <f t="shared" si="30"/>
        <v>0</v>
      </c>
      <c r="I666" s="50">
        <f t="shared" si="31"/>
        <v>846012.20733993209</v>
      </c>
      <c r="J666" s="106" t="str">
        <f t="shared" si="32"/>
        <v/>
      </c>
      <c r="K666" s="105"/>
    </row>
    <row r="667" spans="2:11" ht="12.95" customHeight="1" x14ac:dyDescent="0.25">
      <c r="B667" s="45" t="str">
        <f>VLOOKUP(C667,SintéticoNC!$F$4:$G$83,2,FALSE)</f>
        <v>Bancada do Pará</v>
      </c>
      <c r="C667" s="42" t="s">
        <v>170</v>
      </c>
      <c r="D667" s="23" t="s">
        <v>216</v>
      </c>
      <c r="E667" s="43" t="s">
        <v>13</v>
      </c>
      <c r="F667" s="50"/>
      <c r="G667" s="50">
        <f>I591*ÍndiceCorreçãoNC!$C$12</f>
        <v>0</v>
      </c>
      <c r="H667" s="50">
        <f t="shared" si="30"/>
        <v>0</v>
      </c>
      <c r="I667" s="50">
        <f t="shared" si="31"/>
        <v>185282.99335999999</v>
      </c>
      <c r="J667" s="106" t="str">
        <f t="shared" si="32"/>
        <v/>
      </c>
      <c r="K667" s="105"/>
    </row>
    <row r="668" spans="2:11" ht="12.95" customHeight="1" x14ac:dyDescent="0.25">
      <c r="B668" s="45" t="str">
        <f>VLOOKUP(C668,SintéticoNC!$F$4:$G$83,2,FALSE)</f>
        <v>Bancada do Pará</v>
      </c>
      <c r="C668" s="42" t="s">
        <v>172</v>
      </c>
      <c r="D668" s="23" t="s">
        <v>216</v>
      </c>
      <c r="E668" s="43" t="s">
        <v>13</v>
      </c>
      <c r="F668" s="50"/>
      <c r="G668" s="50">
        <f>I592*ÍndiceCorreçãoNC!$C$12</f>
        <v>0</v>
      </c>
      <c r="H668" s="50">
        <f t="shared" si="30"/>
        <v>0</v>
      </c>
      <c r="I668" s="50">
        <f t="shared" si="31"/>
        <v>314598.4390518</v>
      </c>
      <c r="J668" s="106" t="str">
        <f t="shared" si="32"/>
        <v/>
      </c>
      <c r="K668" s="105"/>
    </row>
    <row r="669" spans="2:11" ht="12.95" customHeight="1" x14ac:dyDescent="0.25">
      <c r="B669" s="45" t="str">
        <f>VLOOKUP(C669,SintéticoNC!$F$4:$G$83,2,FALSE)</f>
        <v>Coronel Chrisóstomo</v>
      </c>
      <c r="C669" s="42" t="s">
        <v>174</v>
      </c>
      <c r="D669" s="23" t="s">
        <v>216</v>
      </c>
      <c r="E669" s="43" t="s">
        <v>13</v>
      </c>
      <c r="F669" s="50"/>
      <c r="G669" s="50">
        <f>I593*ÍndiceCorreçãoNC!$C$12</f>
        <v>0</v>
      </c>
      <c r="H669" s="50">
        <f t="shared" si="30"/>
        <v>0</v>
      </c>
      <c r="I669" s="50">
        <f t="shared" si="31"/>
        <v>61928.826585000003</v>
      </c>
      <c r="J669" s="106" t="str">
        <f t="shared" si="32"/>
        <v/>
      </c>
      <c r="K669" s="105"/>
    </row>
    <row r="670" spans="2:11" ht="12.95" customHeight="1" x14ac:dyDescent="0.25">
      <c r="B670" s="45" t="str">
        <f>VLOOKUP(C670,SintéticoNC!$F$4:$G$83,2,FALSE)</f>
        <v>Dimas Fabiano</v>
      </c>
      <c r="C670" s="42" t="s">
        <v>176</v>
      </c>
      <c r="D670" s="23" t="s">
        <v>216</v>
      </c>
      <c r="E670" s="43" t="s">
        <v>13</v>
      </c>
      <c r="F670" s="50"/>
      <c r="G670" s="50">
        <f>I594*ÍndiceCorreçãoNC!$C$12</f>
        <v>0</v>
      </c>
      <c r="H670" s="50">
        <f t="shared" si="30"/>
        <v>0</v>
      </c>
      <c r="I670" s="50">
        <f t="shared" si="31"/>
        <v>93648.469469999996</v>
      </c>
      <c r="J670" s="106" t="str">
        <f t="shared" si="32"/>
        <v/>
      </c>
      <c r="K670" s="105"/>
    </row>
    <row r="671" spans="2:11" ht="12.95" customHeight="1" x14ac:dyDescent="0.25">
      <c r="B671" s="45" t="str">
        <f>VLOOKUP(C671,SintéticoNC!$F$4:$G$83,2,FALSE)</f>
        <v>Edna Henrique</v>
      </c>
      <c r="C671" s="42" t="s">
        <v>178</v>
      </c>
      <c r="D671" s="23" t="s">
        <v>216</v>
      </c>
      <c r="E671" s="43" t="s">
        <v>13</v>
      </c>
      <c r="F671" s="50"/>
      <c r="G671" s="50">
        <f>I595*ÍndiceCorreçãoNC!$C$12</f>
        <v>0</v>
      </c>
      <c r="H671" s="50">
        <f t="shared" si="30"/>
        <v>0</v>
      </c>
      <c r="I671" s="50">
        <f t="shared" si="31"/>
        <v>92641.496679999997</v>
      </c>
      <c r="J671" s="106" t="str">
        <f t="shared" si="32"/>
        <v/>
      </c>
      <c r="K671" s="105"/>
    </row>
    <row r="672" spans="2:11" ht="12.95" customHeight="1" x14ac:dyDescent="0.25">
      <c r="B672" s="45" t="str">
        <f>VLOOKUP(C672,SintéticoNC!$F$4:$G$83,2,FALSE)</f>
        <v>Fabio Reis</v>
      </c>
      <c r="C672" s="42" t="s">
        <v>180</v>
      </c>
      <c r="D672" s="23" t="s">
        <v>216</v>
      </c>
      <c r="E672" s="43" t="s">
        <v>13</v>
      </c>
      <c r="F672" s="50"/>
      <c r="G672" s="50">
        <f>I596*ÍndiceCorreçãoNC!$C$12</f>
        <v>0</v>
      </c>
      <c r="H672" s="50">
        <f t="shared" si="30"/>
        <v>0</v>
      </c>
      <c r="I672" s="50">
        <f t="shared" si="31"/>
        <v>42172.020445200003</v>
      </c>
      <c r="J672" s="106" t="str">
        <f t="shared" si="32"/>
        <v/>
      </c>
      <c r="K672" s="105"/>
    </row>
    <row r="673" spans="2:11" ht="12.95" customHeight="1" x14ac:dyDescent="0.25">
      <c r="B673" s="45" t="str">
        <f>VLOOKUP(C673,SintéticoNC!$F$4:$G$83,2,FALSE)</f>
        <v>Flavia Arruda</v>
      </c>
      <c r="C673" s="42" t="s">
        <v>182</v>
      </c>
      <c r="D673" s="23" t="s">
        <v>216</v>
      </c>
      <c r="E673" s="43" t="s">
        <v>13</v>
      </c>
      <c r="F673" s="50"/>
      <c r="G673" s="50">
        <f>I597*ÍndiceCorreçãoNC!$C$12</f>
        <v>0</v>
      </c>
      <c r="H673" s="50">
        <f t="shared" si="30"/>
        <v>0</v>
      </c>
      <c r="I673" s="50">
        <f t="shared" si="31"/>
        <v>371113.77991776</v>
      </c>
      <c r="J673" s="106" t="str">
        <f t="shared" si="32"/>
        <v/>
      </c>
      <c r="K673" s="105"/>
    </row>
    <row r="674" spans="2:11" ht="12.95" customHeight="1" x14ac:dyDescent="0.25">
      <c r="B674" s="45" t="str">
        <f>VLOOKUP(C674,SintéticoNC!$F$4:$G$83,2,FALSE)</f>
        <v>General Girão</v>
      </c>
      <c r="C674" s="42" t="s">
        <v>184</v>
      </c>
      <c r="D674" s="23" t="s">
        <v>216</v>
      </c>
      <c r="E674" s="43" t="s">
        <v>13</v>
      </c>
      <c r="F674" s="50"/>
      <c r="G674" s="50">
        <f>I598*ÍndiceCorreçãoNC!$C$12</f>
        <v>0</v>
      </c>
      <c r="H674" s="50">
        <f t="shared" si="30"/>
        <v>0</v>
      </c>
      <c r="I674" s="50">
        <f t="shared" si="31"/>
        <v>93648.469469999996</v>
      </c>
      <c r="J674" s="106" t="str">
        <f t="shared" si="32"/>
        <v/>
      </c>
      <c r="K674" s="105"/>
    </row>
    <row r="675" spans="2:11" ht="12.95" customHeight="1" x14ac:dyDescent="0.25">
      <c r="B675" s="45" t="str">
        <f>VLOOKUP(C675,SintéticoNC!$F$4:$G$83,2,FALSE)</f>
        <v>José Nunes</v>
      </c>
      <c r="C675" s="42" t="s">
        <v>186</v>
      </c>
      <c r="D675" s="23" t="s">
        <v>216</v>
      </c>
      <c r="E675" s="43" t="s">
        <v>13</v>
      </c>
      <c r="F675" s="50"/>
      <c r="G675" s="50">
        <f>I599*ÍndiceCorreçãoNC!$C$12</f>
        <v>0</v>
      </c>
      <c r="H675" s="50">
        <f t="shared" si="30"/>
        <v>0</v>
      </c>
      <c r="I675" s="50">
        <f t="shared" si="31"/>
        <v>93648.469469999996</v>
      </c>
      <c r="J675" s="106" t="str">
        <f t="shared" si="32"/>
        <v/>
      </c>
      <c r="K675" s="105"/>
    </row>
    <row r="676" spans="2:11" ht="12.95" customHeight="1" x14ac:dyDescent="0.25">
      <c r="B676" s="45" t="str">
        <f>VLOOKUP(C676,SintéticoNC!$F$4:$G$83,2,FALSE)</f>
        <v>Josivaldo JP</v>
      </c>
      <c r="C676" s="42" t="s">
        <v>188</v>
      </c>
      <c r="D676" s="23" t="s">
        <v>216</v>
      </c>
      <c r="E676" s="43" t="s">
        <v>13</v>
      </c>
      <c r="F676" s="50"/>
      <c r="G676" s="50">
        <f>I600*ÍndiceCorreçãoNC!$C$12</f>
        <v>0</v>
      </c>
      <c r="H676" s="50">
        <f t="shared" si="30"/>
        <v>0</v>
      </c>
      <c r="I676" s="50">
        <f t="shared" si="31"/>
        <v>48334.693919999998</v>
      </c>
      <c r="J676" s="106" t="str">
        <f t="shared" si="32"/>
        <v/>
      </c>
      <c r="K676" s="105"/>
    </row>
    <row r="677" spans="2:11" ht="12.95" customHeight="1" x14ac:dyDescent="0.25">
      <c r="B677" s="45" t="str">
        <f>VLOOKUP(C677,SintéticoNC!$F$4:$G$83,2,FALSE)</f>
        <v>Junior Lourenço</v>
      </c>
      <c r="C677" s="42" t="s">
        <v>190</v>
      </c>
      <c r="D677" s="23" t="s">
        <v>216</v>
      </c>
      <c r="E677" s="43" t="s">
        <v>13</v>
      </c>
      <c r="F677" s="50"/>
      <c r="G677" s="50">
        <f>I601*ÍndiceCorreçãoNC!$C$12</f>
        <v>0</v>
      </c>
      <c r="H677" s="50">
        <f t="shared" si="30"/>
        <v>0</v>
      </c>
      <c r="I677" s="50">
        <f t="shared" si="31"/>
        <v>156080.78245</v>
      </c>
      <c r="J677" s="106" t="str">
        <f t="shared" si="32"/>
        <v/>
      </c>
      <c r="K677" s="105"/>
    </row>
    <row r="678" spans="2:11" ht="12.95" customHeight="1" x14ac:dyDescent="0.25">
      <c r="B678" s="45" t="str">
        <f>VLOOKUP(C678,SintéticoNC!$F$4:$G$83,2,FALSE)</f>
        <v>Leo de Brito</v>
      </c>
      <c r="C678" s="42" t="s">
        <v>192</v>
      </c>
      <c r="D678" s="23" t="s">
        <v>216</v>
      </c>
      <c r="E678" s="43" t="s">
        <v>13</v>
      </c>
      <c r="F678" s="50"/>
      <c r="G678" s="50">
        <f>I602*ÍndiceCorreçãoNC!$C$12</f>
        <v>0</v>
      </c>
      <c r="H678" s="50">
        <f t="shared" si="30"/>
        <v>0</v>
      </c>
      <c r="I678" s="50">
        <f t="shared" si="31"/>
        <v>171185.3743</v>
      </c>
      <c r="J678" s="106" t="str">
        <f t="shared" si="32"/>
        <v/>
      </c>
      <c r="K678" s="105"/>
    </row>
    <row r="679" spans="2:11" ht="12.95" customHeight="1" x14ac:dyDescent="0.25">
      <c r="B679" s="45" t="str">
        <f>VLOOKUP(C679,SintéticoNC!$F$4:$G$83,2,FALSE)</f>
        <v>Luciano Bivar</v>
      </c>
      <c r="C679" s="42" t="s">
        <v>194</v>
      </c>
      <c r="D679" s="23" t="s">
        <v>216</v>
      </c>
      <c r="E679" s="43" t="s">
        <v>13</v>
      </c>
      <c r="F679" s="50"/>
      <c r="G679" s="50">
        <f>I603*ÍndiceCorreçãoNC!$C$12</f>
        <v>0</v>
      </c>
      <c r="H679" s="50">
        <f t="shared" si="30"/>
        <v>0</v>
      </c>
      <c r="I679" s="50">
        <f t="shared" si="31"/>
        <v>93648.469469999996</v>
      </c>
      <c r="J679" s="106" t="str">
        <f t="shared" si="32"/>
        <v/>
      </c>
      <c r="K679" s="105"/>
    </row>
    <row r="680" spans="2:11" ht="12.95" customHeight="1" x14ac:dyDescent="0.25">
      <c r="B680" s="45" t="str">
        <f>VLOOKUP(C680,SintéticoNC!$F$4:$G$83,2,FALSE)</f>
        <v>Luis Tibé</v>
      </c>
      <c r="C680" s="42" t="s">
        <v>196</v>
      </c>
      <c r="D680" s="23" t="s">
        <v>216</v>
      </c>
      <c r="E680" s="43" t="s">
        <v>13</v>
      </c>
      <c r="F680" s="50"/>
      <c r="G680" s="50">
        <f>I604*ÍndiceCorreçãoNC!$C$12</f>
        <v>0</v>
      </c>
      <c r="H680" s="50">
        <f t="shared" si="30"/>
        <v>0</v>
      </c>
      <c r="I680" s="50">
        <f t="shared" si="31"/>
        <v>93648.469469999996</v>
      </c>
      <c r="J680" s="106" t="str">
        <f t="shared" si="32"/>
        <v/>
      </c>
      <c r="K680" s="105"/>
    </row>
    <row r="681" spans="2:11" ht="12.95" customHeight="1" x14ac:dyDescent="0.25">
      <c r="B681" s="45" t="str">
        <f>VLOOKUP(C681,SintéticoNC!$F$4:$G$83,2,FALSE)</f>
        <v>Mara Rocha</v>
      </c>
      <c r="C681" s="42" t="s">
        <v>198</v>
      </c>
      <c r="D681" s="23" t="s">
        <v>216</v>
      </c>
      <c r="E681" s="43" t="s">
        <v>13</v>
      </c>
      <c r="F681" s="50"/>
      <c r="G681" s="50">
        <f>I605*ÍndiceCorreçãoNC!$C$12</f>
        <v>0</v>
      </c>
      <c r="H681" s="50">
        <f t="shared" si="30"/>
        <v>0</v>
      </c>
      <c r="I681" s="50">
        <f t="shared" si="31"/>
        <v>171185.3743</v>
      </c>
      <c r="J681" s="106" t="str">
        <f t="shared" si="32"/>
        <v/>
      </c>
      <c r="K681" s="105"/>
    </row>
    <row r="682" spans="2:11" ht="12.95" customHeight="1" x14ac:dyDescent="0.25">
      <c r="B682" s="45" t="str">
        <f>VLOOKUP(C682,SintéticoNC!$F$4:$G$83,2,FALSE)</f>
        <v>Marx Beltrão</v>
      </c>
      <c r="C682" s="42" t="s">
        <v>200</v>
      </c>
      <c r="D682" s="23" t="s">
        <v>216</v>
      </c>
      <c r="E682" s="43" t="s">
        <v>13</v>
      </c>
      <c r="F682" s="50"/>
      <c r="G682" s="50">
        <f>I606*ÍndiceCorreçãoNC!$C$12</f>
        <v>0</v>
      </c>
      <c r="H682" s="50">
        <f t="shared" si="30"/>
        <v>0</v>
      </c>
      <c r="I682" s="50">
        <f t="shared" si="31"/>
        <v>93648.469469999996</v>
      </c>
      <c r="J682" s="106" t="str">
        <f t="shared" si="32"/>
        <v/>
      </c>
      <c r="K682" s="105"/>
    </row>
    <row r="683" spans="2:11" ht="12.95" customHeight="1" x14ac:dyDescent="0.25">
      <c r="B683" s="45" t="str">
        <f>VLOOKUP(C683,SintéticoNC!$F$4:$G$83,2,FALSE)</f>
        <v>Perpétua Almeida</v>
      </c>
      <c r="C683" s="42" t="s">
        <v>202</v>
      </c>
      <c r="D683" s="23" t="s">
        <v>216</v>
      </c>
      <c r="E683" s="43" t="s">
        <v>13</v>
      </c>
      <c r="F683" s="50"/>
      <c r="G683" s="50">
        <f>I607*ÍndiceCorreçãoNC!$C$12</f>
        <v>0</v>
      </c>
      <c r="H683" s="50">
        <f t="shared" si="30"/>
        <v>0</v>
      </c>
      <c r="I683" s="50">
        <f t="shared" si="31"/>
        <v>194341.72057884</v>
      </c>
      <c r="J683" s="106" t="str">
        <f t="shared" si="32"/>
        <v/>
      </c>
      <c r="K683" s="105"/>
    </row>
    <row r="684" spans="2:11" ht="12.95" customHeight="1" x14ac:dyDescent="0.25">
      <c r="B684" s="45" t="str">
        <f>VLOOKUP(C684,SintéticoNC!$F$4:$G$83,2,FALSE)</f>
        <v>Sérgio Petecão</v>
      </c>
      <c r="C684" s="42" t="s">
        <v>204</v>
      </c>
      <c r="D684" s="23" t="s">
        <v>216</v>
      </c>
      <c r="E684" s="43" t="s">
        <v>13</v>
      </c>
      <c r="F684" s="50"/>
      <c r="G684" s="50">
        <f>I608*ÍndiceCorreçãoNC!$C$12</f>
        <v>0</v>
      </c>
      <c r="H684" s="50">
        <f t="shared" si="30"/>
        <v>0</v>
      </c>
      <c r="I684" s="50">
        <f t="shared" si="31"/>
        <v>133538.68957305999</v>
      </c>
      <c r="J684" s="106" t="str">
        <f t="shared" si="32"/>
        <v/>
      </c>
      <c r="K684" s="105"/>
    </row>
    <row r="685" spans="2:11" ht="12.95" customHeight="1" x14ac:dyDescent="0.25">
      <c r="B685" s="45" t="str">
        <f>VLOOKUP(C685,SintéticoNC!$F$4:$G$83,2,FALSE)</f>
        <v>Uldurico Junior</v>
      </c>
      <c r="C685" s="42" t="s">
        <v>206</v>
      </c>
      <c r="D685" s="23" t="s">
        <v>216</v>
      </c>
      <c r="E685" s="43" t="s">
        <v>13</v>
      </c>
      <c r="F685" s="50"/>
      <c r="G685" s="50">
        <f>I609*ÍndiceCorreçãoNC!$C$12</f>
        <v>0</v>
      </c>
      <c r="H685" s="50">
        <f t="shared" si="30"/>
        <v>0</v>
      </c>
      <c r="I685" s="50">
        <f t="shared" si="31"/>
        <v>141983.16339</v>
      </c>
      <c r="J685" s="106" t="str">
        <f t="shared" si="32"/>
        <v/>
      </c>
      <c r="K685" s="105"/>
    </row>
    <row r="686" spans="2:11" ht="12.95" customHeight="1" x14ac:dyDescent="0.25">
      <c r="B686" s="45" t="str">
        <f>VLOOKUP(C686,SintéticoNC!$F$4:$G$83,2,FALSE)</f>
        <v>Soraya Thronicke</v>
      </c>
      <c r="C686" s="42" t="s">
        <v>208</v>
      </c>
      <c r="D686" s="23" t="s">
        <v>216</v>
      </c>
      <c r="E686" s="43" t="s">
        <v>13</v>
      </c>
      <c r="F686" s="50"/>
      <c r="G686" s="50">
        <f>I610*ÍndiceCorreçãoNC!$C$12</f>
        <v>0</v>
      </c>
      <c r="H686" s="50">
        <f t="shared" si="30"/>
        <v>0</v>
      </c>
      <c r="I686" s="50">
        <f t="shared" si="31"/>
        <v>156080.78245</v>
      </c>
      <c r="J686" s="106" t="str">
        <f t="shared" si="32"/>
        <v/>
      </c>
      <c r="K686" s="105"/>
    </row>
    <row r="687" spans="2:11" ht="12.95" customHeight="1" x14ac:dyDescent="0.25">
      <c r="B687" s="45" t="str">
        <f>VLOOKUP(C687,SintéticoNC!$F$4:$G$83,2,FALSE)</f>
        <v>MCom</v>
      </c>
      <c r="C687" s="42" t="s">
        <v>211</v>
      </c>
      <c r="D687" s="23" t="s">
        <v>216</v>
      </c>
      <c r="E687" s="43" t="s">
        <v>13</v>
      </c>
      <c r="F687" s="50"/>
      <c r="G687" s="50">
        <f>I611*ÍndiceCorreçãoNC!$C$12</f>
        <v>0</v>
      </c>
      <c r="H687" s="50">
        <f t="shared" si="30"/>
        <v>0</v>
      </c>
      <c r="I687" s="50">
        <f t="shared" si="31"/>
        <v>503486.39500000002</v>
      </c>
      <c r="J687" s="106" t="str">
        <f t="shared" si="32"/>
        <v/>
      </c>
      <c r="K687" s="105"/>
    </row>
    <row r="688" spans="2:11" ht="12.95" customHeight="1" x14ac:dyDescent="0.25">
      <c r="B688" s="45" t="str">
        <f>VLOOKUP(C688,SintéticoNC!$F$4:$G$83,2,FALSE)</f>
        <v>Cabo Junio Amaral</v>
      </c>
      <c r="C688" s="42" t="s">
        <v>213</v>
      </c>
      <c r="D688" s="23" t="s">
        <v>216</v>
      </c>
      <c r="E688" s="43" t="s">
        <v>13</v>
      </c>
      <c r="F688" s="50"/>
      <c r="G688" s="50">
        <f>I612*ÍndiceCorreçãoNC!$C$12</f>
        <v>0</v>
      </c>
      <c r="H688" s="50">
        <f t="shared" si="30"/>
        <v>0</v>
      </c>
      <c r="I688" s="50">
        <f t="shared" si="31"/>
        <v>93648.469469999996</v>
      </c>
      <c r="J688" s="106" t="str">
        <f t="shared" si="32"/>
        <v/>
      </c>
      <c r="K688" s="105"/>
    </row>
    <row r="689" spans="2:11" ht="12.95" customHeight="1" x14ac:dyDescent="0.25">
      <c r="B689" s="45" t="str">
        <f>VLOOKUP(C689,SintéticoNC!$F$4:$G$83,2,FALSE)</f>
        <v>Leur Lomanto</v>
      </c>
      <c r="C689" s="42" t="s">
        <v>215</v>
      </c>
      <c r="D689" s="23" t="s">
        <v>216</v>
      </c>
      <c r="E689" s="43" t="s">
        <v>13</v>
      </c>
      <c r="F689" s="50"/>
      <c r="G689" s="50">
        <f>I613*ÍndiceCorreçãoNC!$C$12</f>
        <v>0</v>
      </c>
      <c r="H689" s="50">
        <f t="shared" si="30"/>
        <v>0</v>
      </c>
      <c r="I689" s="50">
        <f t="shared" si="31"/>
        <v>28195.238120000002</v>
      </c>
      <c r="J689" s="106" t="str">
        <f t="shared" si="32"/>
        <v/>
      </c>
      <c r="K689" s="105"/>
    </row>
    <row r="690" spans="2:11" ht="12.95" customHeight="1" x14ac:dyDescent="0.25">
      <c r="B690" s="45" t="str">
        <f>VLOOKUP(C690,SintéticoNC!$F$4:$G$83,2,FALSE)</f>
        <v>Bancada de Alagoas</v>
      </c>
      <c r="C690" s="42" t="s">
        <v>141</v>
      </c>
      <c r="D690" s="23" t="s">
        <v>153</v>
      </c>
      <c r="E690" s="43" t="s">
        <v>14</v>
      </c>
      <c r="F690" s="50"/>
      <c r="G690" s="50">
        <f>I614*ÍndiceCorreçãoNC!$C$13</f>
        <v>0</v>
      </c>
      <c r="H690" s="50">
        <f t="shared" si="30"/>
        <v>0</v>
      </c>
      <c r="I690" s="50">
        <f t="shared" si="31"/>
        <v>1814033.9908278328</v>
      </c>
      <c r="J690" s="106" t="str">
        <f t="shared" si="32"/>
        <v/>
      </c>
      <c r="K690" s="105"/>
    </row>
    <row r="691" spans="2:11" ht="12.95" customHeight="1" x14ac:dyDescent="0.25">
      <c r="B691" s="45" t="str">
        <f>VLOOKUP(C691,SintéticoNC!$F$4:$G$83,2,FALSE)</f>
        <v>Bancada de Alagoas</v>
      </c>
      <c r="C691" s="42" t="s">
        <v>142</v>
      </c>
      <c r="D691" s="23" t="s">
        <v>153</v>
      </c>
      <c r="E691" s="43" t="s">
        <v>14</v>
      </c>
      <c r="F691" s="50"/>
      <c r="G691" s="50">
        <f>I615*ÍndiceCorreçãoNC!$C$13</f>
        <v>0</v>
      </c>
      <c r="H691" s="50">
        <f t="shared" si="30"/>
        <v>0</v>
      </c>
      <c r="I691" s="50">
        <f t="shared" si="31"/>
        <v>528056.53107599996</v>
      </c>
      <c r="J691" s="106" t="str">
        <f t="shared" si="32"/>
        <v/>
      </c>
      <c r="K691" s="105"/>
    </row>
    <row r="692" spans="2:11" ht="12.95" customHeight="1" x14ac:dyDescent="0.25">
      <c r="B692" s="45" t="str">
        <f>VLOOKUP(C692,SintéticoNC!$F$4:$G$83,2,FALSE)</f>
        <v>Bancada de Alagoas</v>
      </c>
      <c r="C692" s="42" t="s">
        <v>143</v>
      </c>
      <c r="D692" s="23" t="s">
        <v>153</v>
      </c>
      <c r="E692" s="43" t="s">
        <v>14</v>
      </c>
      <c r="F692" s="50"/>
      <c r="G692" s="50">
        <f>I616*ÍndiceCorreçãoNC!$C$13</f>
        <v>0</v>
      </c>
      <c r="H692" s="50">
        <f t="shared" si="30"/>
        <v>0</v>
      </c>
      <c r="I692" s="50">
        <f t="shared" si="31"/>
        <v>5262250.4896554798</v>
      </c>
      <c r="J692" s="106" t="str">
        <f t="shared" si="32"/>
        <v/>
      </c>
      <c r="K692" s="105"/>
    </row>
    <row r="693" spans="2:11" ht="12.95" customHeight="1" x14ac:dyDescent="0.25">
      <c r="B693" s="45" t="str">
        <f>VLOOKUP(C693,SintéticoNC!$F$4:$G$83,2,FALSE)</f>
        <v>Bancada de Minas Gerais</v>
      </c>
      <c r="C693" s="42" t="s">
        <v>144</v>
      </c>
      <c r="D693" s="23" t="s">
        <v>153</v>
      </c>
      <c r="E693" s="43" t="s">
        <v>14</v>
      </c>
      <c r="F693" s="50"/>
      <c r="G693" s="50">
        <f>I617*ÍndiceCorreçãoNC!$C$13</f>
        <v>0</v>
      </c>
      <c r="H693" s="50">
        <f t="shared" si="30"/>
        <v>0</v>
      </c>
      <c r="I693" s="50">
        <f t="shared" si="31"/>
        <v>13370850.949225677</v>
      </c>
      <c r="J693" s="106" t="str">
        <f t="shared" si="32"/>
        <v/>
      </c>
      <c r="K693" s="105"/>
    </row>
    <row r="694" spans="2:11" ht="12.95" customHeight="1" x14ac:dyDescent="0.25">
      <c r="B694" s="45" t="str">
        <f>VLOOKUP(C694,SintéticoNC!$F$4:$G$83,2,FALSE)</f>
        <v>Bancada de São Paulo</v>
      </c>
      <c r="C694" s="42" t="s">
        <v>145</v>
      </c>
      <c r="D694" s="23" t="s">
        <v>153</v>
      </c>
      <c r="E694" s="43" t="s">
        <v>14</v>
      </c>
      <c r="F694" s="50"/>
      <c r="G694" s="50">
        <f>I618*ÍndiceCorreçãoNC!$C$13</f>
        <v>0</v>
      </c>
      <c r="H694" s="50">
        <f t="shared" si="30"/>
        <v>0</v>
      </c>
      <c r="I694" s="50">
        <f t="shared" si="31"/>
        <v>1555533.3010259799</v>
      </c>
      <c r="J694" s="106" t="str">
        <f t="shared" si="32"/>
        <v/>
      </c>
      <c r="K694" s="105"/>
    </row>
    <row r="695" spans="2:11" ht="12.95" customHeight="1" x14ac:dyDescent="0.25">
      <c r="B695" s="45" t="str">
        <f>VLOOKUP(C695,SintéticoNC!$F$4:$G$83,2,FALSE)</f>
        <v>Bancada do Espírito Santo</v>
      </c>
      <c r="C695" s="42" t="s">
        <v>146</v>
      </c>
      <c r="D695" s="23" t="s">
        <v>153</v>
      </c>
      <c r="E695" s="43" t="s">
        <v>14</v>
      </c>
      <c r="F695" s="50"/>
      <c r="G695" s="50">
        <f>I619*ÍndiceCorreçãoNC!$C$13</f>
        <v>0</v>
      </c>
      <c r="H695" s="50">
        <f t="shared" si="30"/>
        <v>0</v>
      </c>
      <c r="I695" s="50">
        <f t="shared" si="31"/>
        <v>1420853.1473770875</v>
      </c>
      <c r="J695" s="106" t="str">
        <f t="shared" si="32"/>
        <v/>
      </c>
      <c r="K695" s="105"/>
    </row>
    <row r="696" spans="2:11" ht="12.95" customHeight="1" x14ac:dyDescent="0.25">
      <c r="B696" s="45" t="str">
        <f>VLOOKUP(C696,SintéticoNC!$F$4:$G$83,2,FALSE)</f>
        <v>Bancada do Espírito Santo</v>
      </c>
      <c r="C696" s="42" t="s">
        <v>147</v>
      </c>
      <c r="D696" s="23" t="s">
        <v>153</v>
      </c>
      <c r="E696" s="43" t="s">
        <v>14</v>
      </c>
      <c r="F696" s="50"/>
      <c r="G696" s="50">
        <f>I620*ÍndiceCorreçãoNC!$C$13</f>
        <v>0</v>
      </c>
      <c r="H696" s="50">
        <f t="shared" si="30"/>
        <v>0</v>
      </c>
      <c r="I696" s="50">
        <f t="shared" si="31"/>
        <v>2260653.9135500002</v>
      </c>
      <c r="J696" s="106" t="str">
        <f t="shared" si="32"/>
        <v/>
      </c>
      <c r="K696" s="105"/>
    </row>
    <row r="697" spans="2:11" ht="12.95" customHeight="1" x14ac:dyDescent="0.25">
      <c r="B697" s="45" t="str">
        <f>VLOOKUP(C697,SintéticoNC!$F$4:$G$83,2,FALSE)</f>
        <v>Bancada do Espírito Santo</v>
      </c>
      <c r="C697" s="42" t="s">
        <v>148</v>
      </c>
      <c r="D697" s="23" t="s">
        <v>153</v>
      </c>
      <c r="E697" s="43" t="s">
        <v>14</v>
      </c>
      <c r="F697" s="50"/>
      <c r="G697" s="50">
        <f>I621*ÍndiceCorreçãoNC!$C$13</f>
        <v>0</v>
      </c>
      <c r="H697" s="50">
        <f t="shared" si="30"/>
        <v>0</v>
      </c>
      <c r="I697" s="50">
        <f t="shared" si="31"/>
        <v>2771189.1180799999</v>
      </c>
      <c r="J697" s="106" t="str">
        <f t="shared" si="32"/>
        <v/>
      </c>
      <c r="K697" s="105"/>
    </row>
    <row r="698" spans="2:11" ht="12.95" customHeight="1" x14ac:dyDescent="0.25">
      <c r="B698" s="45" t="str">
        <f>VLOOKUP(C698,SintéticoNC!$F$4:$G$83,2,FALSE)</f>
        <v>Bancada do Maranhão</v>
      </c>
      <c r="C698" s="42" t="s">
        <v>149</v>
      </c>
      <c r="D698" s="23" t="s">
        <v>153</v>
      </c>
      <c r="E698" s="43" t="s">
        <v>14</v>
      </c>
      <c r="F698" s="50"/>
      <c r="G698" s="50">
        <f>I622*ÍndiceCorreçãoNC!$C$13</f>
        <v>0</v>
      </c>
      <c r="H698" s="50">
        <f t="shared" si="30"/>
        <v>0</v>
      </c>
      <c r="I698" s="50">
        <f t="shared" si="31"/>
        <v>755229.59250000003</v>
      </c>
      <c r="J698" s="106" t="str">
        <f t="shared" si="32"/>
        <v/>
      </c>
      <c r="K698" s="105"/>
    </row>
    <row r="699" spans="2:11" ht="12.95" customHeight="1" x14ac:dyDescent="0.25">
      <c r="B699" s="45" t="str">
        <f>VLOOKUP(C699,SintéticoNC!$F$4:$G$83,2,FALSE)</f>
        <v>Bancada do Pará</v>
      </c>
      <c r="C699" s="42" t="s">
        <v>152</v>
      </c>
      <c r="D699" s="23" t="s">
        <v>153</v>
      </c>
      <c r="E699" s="43" t="s">
        <v>14</v>
      </c>
      <c r="F699" s="50"/>
      <c r="G699" s="50">
        <f>I623*ÍndiceCorreçãoNC!$C$13</f>
        <v>0</v>
      </c>
      <c r="H699" s="50">
        <f t="shared" si="30"/>
        <v>0</v>
      </c>
      <c r="I699" s="50">
        <f t="shared" si="31"/>
        <v>493416.66710000002</v>
      </c>
      <c r="J699" s="106" t="str">
        <f t="shared" si="32"/>
        <v/>
      </c>
      <c r="K699" s="105"/>
    </row>
    <row r="700" spans="2:11" ht="12.95" customHeight="1" x14ac:dyDescent="0.25">
      <c r="B700" s="45" t="str">
        <f>VLOOKUP(C700,SintéticoNC!$F$4:$G$83,2,FALSE)</f>
        <v>Bancada do Pará</v>
      </c>
      <c r="C700" s="42" t="s">
        <v>151</v>
      </c>
      <c r="D700" s="23" t="s">
        <v>153</v>
      </c>
      <c r="E700" s="43" t="s">
        <v>14</v>
      </c>
      <c r="F700" s="50"/>
      <c r="G700" s="50">
        <f>I624*ÍndiceCorreçãoNC!$C$13</f>
        <v>0</v>
      </c>
      <c r="H700" s="50">
        <f t="shared" si="30"/>
        <v>0</v>
      </c>
      <c r="I700" s="50">
        <f t="shared" si="31"/>
        <v>837197.17760599998</v>
      </c>
      <c r="J700" s="106" t="str">
        <f t="shared" si="32"/>
        <v/>
      </c>
      <c r="K700" s="105"/>
    </row>
    <row r="701" spans="2:11" ht="12.95" customHeight="1" x14ac:dyDescent="0.25">
      <c r="B701" s="45" t="str">
        <f>VLOOKUP(C701,SintéticoNC!$F$4:$G$83,2,FALSE)</f>
        <v>Cabo Junio Amaral</v>
      </c>
      <c r="C701" s="42" t="s">
        <v>150</v>
      </c>
      <c r="D701" s="23" t="s">
        <v>153</v>
      </c>
      <c r="E701" s="43" t="s">
        <v>14</v>
      </c>
      <c r="F701" s="50"/>
      <c r="G701" s="50">
        <f>I625*ÍndiceCorreçãoNC!$C$13</f>
        <v>0</v>
      </c>
      <c r="H701" s="50">
        <f t="shared" si="30"/>
        <v>0</v>
      </c>
      <c r="I701" s="50">
        <f t="shared" si="31"/>
        <v>208443.36752999999</v>
      </c>
      <c r="J701" s="106" t="str">
        <f t="shared" si="32"/>
        <v/>
      </c>
      <c r="K701" s="105"/>
    </row>
    <row r="702" spans="2:11" ht="12.95" customHeight="1" x14ac:dyDescent="0.25">
      <c r="B702" s="45" t="str">
        <f>VLOOKUP(C702,SintéticoNC!$F$4:$G$83,2,FALSE)</f>
        <v>Celso Sabino</v>
      </c>
      <c r="C702" s="42" t="s">
        <v>44</v>
      </c>
      <c r="D702" s="23" t="s">
        <v>153</v>
      </c>
      <c r="E702" s="43" t="s">
        <v>14</v>
      </c>
      <c r="F702" s="50"/>
      <c r="G702" s="50">
        <f>I626*ÍndiceCorreçãoNC!$C$13</f>
        <v>0</v>
      </c>
      <c r="H702" s="50">
        <f t="shared" si="30"/>
        <v>0</v>
      </c>
      <c r="I702" s="50">
        <f t="shared" si="31"/>
        <v>97875.449220310911</v>
      </c>
      <c r="J702" s="106" t="str">
        <f t="shared" si="32"/>
        <v/>
      </c>
      <c r="K702" s="105"/>
    </row>
    <row r="703" spans="2:11" ht="12.95" customHeight="1" x14ac:dyDescent="0.25">
      <c r="B703" s="45" t="str">
        <f>VLOOKUP(C703,SintéticoNC!$F$4:$G$83,2,FALSE)</f>
        <v>Coronel Chrisóstomo</v>
      </c>
      <c r="C703" s="42" t="s">
        <v>47</v>
      </c>
      <c r="D703" s="23" t="s">
        <v>153</v>
      </c>
      <c r="E703" s="43" t="s">
        <v>14</v>
      </c>
      <c r="F703" s="50"/>
      <c r="G703" s="50">
        <f>I627*ÍndiceCorreçãoNC!$C$13</f>
        <v>0</v>
      </c>
      <c r="H703" s="50">
        <f t="shared" si="30"/>
        <v>0</v>
      </c>
      <c r="I703" s="50">
        <f t="shared" si="31"/>
        <v>139465.73141499999</v>
      </c>
      <c r="J703" s="106" t="str">
        <f t="shared" si="32"/>
        <v/>
      </c>
      <c r="K703" s="105"/>
    </row>
    <row r="704" spans="2:11" ht="12.95" customHeight="1" x14ac:dyDescent="0.25">
      <c r="B704" s="45" t="str">
        <f>VLOOKUP(C704,SintéticoNC!$F$4:$G$83,2,FALSE)</f>
        <v>Dimas Fabiano</v>
      </c>
      <c r="C704" s="42" t="s">
        <v>50</v>
      </c>
      <c r="D704" s="23" t="s">
        <v>153</v>
      </c>
      <c r="E704" s="43" t="s">
        <v>14</v>
      </c>
      <c r="F704" s="50"/>
      <c r="G704" s="50">
        <f>I628*ÍndiceCorreçãoNC!$C$13</f>
        <v>0</v>
      </c>
      <c r="H704" s="50">
        <f t="shared" si="30"/>
        <v>0</v>
      </c>
      <c r="I704" s="50">
        <f t="shared" si="31"/>
        <v>208443.36752999999</v>
      </c>
      <c r="J704" s="106" t="str">
        <f t="shared" si="32"/>
        <v/>
      </c>
      <c r="K704" s="105"/>
    </row>
    <row r="705" spans="2:11" ht="12.95" customHeight="1" x14ac:dyDescent="0.25">
      <c r="B705" s="45" t="str">
        <f>VLOOKUP(C705,SintéticoNC!$F$4:$G$83,2,FALSE)</f>
        <v>Edna Henrique</v>
      </c>
      <c r="C705" s="42" t="s">
        <v>53</v>
      </c>
      <c r="D705" s="23" t="s">
        <v>153</v>
      </c>
      <c r="E705" s="43" t="s">
        <v>14</v>
      </c>
      <c r="F705" s="50"/>
      <c r="G705" s="50">
        <f>I629*ÍndiceCorreçãoNC!$C$13</f>
        <v>0</v>
      </c>
      <c r="H705" s="50">
        <f t="shared" si="30"/>
        <v>0</v>
      </c>
      <c r="I705" s="50">
        <f t="shared" si="31"/>
        <v>209450.34031999999</v>
      </c>
      <c r="J705" s="106" t="str">
        <f t="shared" si="32"/>
        <v/>
      </c>
      <c r="K705" s="105"/>
    </row>
    <row r="706" spans="2:11" ht="12.95" customHeight="1" x14ac:dyDescent="0.25">
      <c r="B706" s="45" t="str">
        <f>VLOOKUP(C706,SintéticoNC!$F$4:$G$83,2,FALSE)</f>
        <v>Elias Vaz</v>
      </c>
      <c r="C706" s="42" t="s">
        <v>56</v>
      </c>
      <c r="D706" s="23" t="s">
        <v>153</v>
      </c>
      <c r="E706" s="43" t="s">
        <v>14</v>
      </c>
      <c r="F706" s="50"/>
      <c r="G706" s="50">
        <f>I630*ÍndiceCorreçãoNC!$C$13</f>
        <v>0</v>
      </c>
      <c r="H706" s="50">
        <f t="shared" si="30"/>
        <v>0</v>
      </c>
      <c r="I706" s="50">
        <f t="shared" si="31"/>
        <v>402789.11599999998</v>
      </c>
      <c r="J706" s="106" t="str">
        <f t="shared" si="32"/>
        <v/>
      </c>
      <c r="K706" s="105"/>
    </row>
    <row r="707" spans="2:11" ht="12.95" customHeight="1" x14ac:dyDescent="0.25">
      <c r="B707" s="45" t="str">
        <f>VLOOKUP(C707,SintéticoNC!$F$4:$G$83,2,FALSE)</f>
        <v>Expedito Netto</v>
      </c>
      <c r="C707" s="42" t="s">
        <v>59</v>
      </c>
      <c r="D707" s="23" t="s">
        <v>153</v>
      </c>
      <c r="E707" s="43" t="s">
        <v>14</v>
      </c>
      <c r="F707" s="50"/>
      <c r="G707" s="50">
        <f>I631*ÍndiceCorreçãoNC!$C$13</f>
        <v>0</v>
      </c>
      <c r="H707" s="50">
        <f t="shared" si="30"/>
        <v>0</v>
      </c>
      <c r="I707" s="50">
        <f t="shared" si="31"/>
        <v>283300.95943927957</v>
      </c>
      <c r="J707" s="106" t="str">
        <f t="shared" si="32"/>
        <v/>
      </c>
      <c r="K707" s="105"/>
    </row>
    <row r="708" spans="2:11" ht="12.95" customHeight="1" x14ac:dyDescent="0.25">
      <c r="B708" s="45" t="str">
        <f>VLOOKUP(C708,SintéticoNC!$F$4:$G$83,2,FALSE)</f>
        <v>Fabio Reis</v>
      </c>
      <c r="C708" s="42" t="s">
        <v>62</v>
      </c>
      <c r="D708" s="23" t="s">
        <v>153</v>
      </c>
      <c r="E708" s="43" t="s">
        <v>14</v>
      </c>
      <c r="F708" s="50"/>
      <c r="G708" s="50">
        <f>I632*ÍndiceCorreçãoNC!$C$13</f>
        <v>0</v>
      </c>
      <c r="H708" s="50">
        <f t="shared" si="30"/>
        <v>0</v>
      </c>
      <c r="I708" s="50">
        <f t="shared" si="31"/>
        <v>82156.865781336295</v>
      </c>
      <c r="J708" s="106" t="str">
        <f t="shared" si="32"/>
        <v/>
      </c>
      <c r="K708" s="105"/>
    </row>
    <row r="709" spans="2:11" ht="12.95" customHeight="1" x14ac:dyDescent="0.25">
      <c r="B709" s="45" t="str">
        <f>VLOOKUP(C709,SintéticoNC!$F$4:$G$83,2,FALSE)</f>
        <v>Flavia Arruda</v>
      </c>
      <c r="C709" s="42" t="s">
        <v>65</v>
      </c>
      <c r="D709" s="23" t="s">
        <v>153</v>
      </c>
      <c r="E709" s="43" t="s">
        <v>14</v>
      </c>
      <c r="F709" s="50"/>
      <c r="G709" s="50">
        <f>I633*ÍndiceCorreçãoNC!$C$13</f>
        <v>0</v>
      </c>
      <c r="H709" s="50">
        <f t="shared" si="30"/>
        <v>0</v>
      </c>
      <c r="I709" s="50">
        <f t="shared" si="31"/>
        <v>887563.63045465504</v>
      </c>
      <c r="J709" s="106" t="str">
        <f t="shared" si="32"/>
        <v/>
      </c>
      <c r="K709" s="105"/>
    </row>
    <row r="710" spans="2:11" ht="12.95" customHeight="1" x14ac:dyDescent="0.25">
      <c r="B710" s="45" t="str">
        <f>VLOOKUP(C710,SintéticoNC!$F$4:$G$83,2,FALSE)</f>
        <v>Flaviano Melo</v>
      </c>
      <c r="C710" s="42" t="s">
        <v>68</v>
      </c>
      <c r="D710" s="23" t="s">
        <v>153</v>
      </c>
      <c r="E710" s="43" t="s">
        <v>14</v>
      </c>
      <c r="F710" s="50"/>
      <c r="G710" s="50">
        <f>I634*ÍndiceCorreçãoNC!$C$13</f>
        <v>0</v>
      </c>
      <c r="H710" s="50">
        <f t="shared" si="30"/>
        <v>0</v>
      </c>
      <c r="I710" s="50">
        <f t="shared" si="31"/>
        <v>506301.91106029582</v>
      </c>
      <c r="J710" s="106" t="str">
        <f t="shared" si="32"/>
        <v/>
      </c>
      <c r="K710" s="105"/>
    </row>
    <row r="711" spans="2:11" ht="12.95" customHeight="1" x14ac:dyDescent="0.25">
      <c r="B711" s="45" t="str">
        <f>VLOOKUP(C711,SintéticoNC!$F$4:$G$83,2,FALSE)</f>
        <v>General Girão</v>
      </c>
      <c r="C711" s="42" t="s">
        <v>71</v>
      </c>
      <c r="D711" s="23" t="s">
        <v>153</v>
      </c>
      <c r="E711" s="43" t="s">
        <v>14</v>
      </c>
      <c r="F711" s="50"/>
      <c r="G711" s="50">
        <f>I635*ÍndiceCorreçãoNC!$C$13</f>
        <v>0</v>
      </c>
      <c r="H711" s="50">
        <f t="shared" si="30"/>
        <v>0</v>
      </c>
      <c r="I711" s="50">
        <f t="shared" si="31"/>
        <v>208443.36752999999</v>
      </c>
      <c r="J711" s="106" t="str">
        <f t="shared" si="32"/>
        <v/>
      </c>
      <c r="K711" s="105"/>
    </row>
    <row r="712" spans="2:11" ht="12.95" customHeight="1" x14ac:dyDescent="0.25">
      <c r="B712" s="45" t="str">
        <f>VLOOKUP(C712,SintéticoNC!$F$4:$G$83,2,FALSE)</f>
        <v>João Roma</v>
      </c>
      <c r="C712" s="42" t="s">
        <v>74</v>
      </c>
      <c r="D712" s="23" t="s">
        <v>153</v>
      </c>
      <c r="E712" s="43" t="s">
        <v>14</v>
      </c>
      <c r="F712" s="50"/>
      <c r="G712" s="50">
        <f>I636*ÍndiceCorreçãoNC!$C$13</f>
        <v>0</v>
      </c>
      <c r="H712" s="50">
        <f t="shared" si="30"/>
        <v>0</v>
      </c>
      <c r="I712" s="50">
        <f t="shared" si="31"/>
        <v>72671.020983889903</v>
      </c>
      <c r="J712" s="106" t="str">
        <f t="shared" si="32"/>
        <v/>
      </c>
      <c r="K712" s="105"/>
    </row>
    <row r="713" spans="2:11" ht="12.95" customHeight="1" x14ac:dyDescent="0.25">
      <c r="B713" s="45" t="str">
        <f>VLOOKUP(C713,SintéticoNC!$F$4:$G$83,2,FALSE)</f>
        <v>Joenia Wapichana</v>
      </c>
      <c r="C713" s="42" t="s">
        <v>77</v>
      </c>
      <c r="D713" s="23" t="s">
        <v>153</v>
      </c>
      <c r="E713" s="43" t="s">
        <v>14</v>
      </c>
      <c r="F713" s="50"/>
      <c r="G713" s="50">
        <f>I637*ÍndiceCorreçãoNC!$C$13</f>
        <v>0</v>
      </c>
      <c r="H713" s="50">
        <f t="shared" si="30"/>
        <v>0</v>
      </c>
      <c r="I713" s="50">
        <f t="shared" si="31"/>
        <v>9161.8613719917994</v>
      </c>
      <c r="J713" s="106" t="str">
        <f t="shared" si="32"/>
        <v/>
      </c>
      <c r="K713" s="105"/>
    </row>
    <row r="714" spans="2:11" ht="12.95" customHeight="1" x14ac:dyDescent="0.25">
      <c r="B714" s="45" t="str">
        <f>VLOOKUP(C714,SintéticoNC!$F$4:$G$83,2,FALSE)</f>
        <v>José Nunes</v>
      </c>
      <c r="C714" s="42" t="s">
        <v>80</v>
      </c>
      <c r="D714" s="23" t="s">
        <v>153</v>
      </c>
      <c r="E714" s="43" t="s">
        <v>14</v>
      </c>
      <c r="F714" s="50"/>
      <c r="G714" s="50">
        <f>I638*ÍndiceCorreçãoNC!$C$13</f>
        <v>0</v>
      </c>
      <c r="H714" s="50">
        <f t="shared" si="30"/>
        <v>0</v>
      </c>
      <c r="I714" s="50">
        <f t="shared" si="31"/>
        <v>208443.36752999999</v>
      </c>
      <c r="J714" s="106" t="str">
        <f t="shared" si="32"/>
        <v/>
      </c>
      <c r="K714" s="105"/>
    </row>
    <row r="715" spans="2:11" ht="12.95" customHeight="1" x14ac:dyDescent="0.25">
      <c r="B715" s="45" t="str">
        <f>VLOOKUP(C715,SintéticoNC!$F$4:$G$83,2,FALSE)</f>
        <v>Josivaldo JP</v>
      </c>
      <c r="C715" s="42" t="s">
        <v>83</v>
      </c>
      <c r="D715" s="23" t="s">
        <v>153</v>
      </c>
      <c r="E715" s="43" t="s">
        <v>14</v>
      </c>
      <c r="F715" s="50"/>
      <c r="G715" s="50">
        <f>I639*ÍndiceCorreçãoNC!$C$13</f>
        <v>0</v>
      </c>
      <c r="H715" s="50">
        <f t="shared" si="30"/>
        <v>0</v>
      </c>
      <c r="I715" s="50">
        <f t="shared" si="31"/>
        <v>102711.22457999999</v>
      </c>
      <c r="J715" s="106" t="str">
        <f t="shared" si="32"/>
        <v/>
      </c>
      <c r="K715" s="105"/>
    </row>
    <row r="716" spans="2:11" ht="12.95" customHeight="1" x14ac:dyDescent="0.25">
      <c r="B716" s="45" t="str">
        <f>VLOOKUP(C716,SintéticoNC!$F$4:$G$83,2,FALSE)</f>
        <v>Junior Lourenço</v>
      </c>
      <c r="C716" s="42" t="s">
        <v>86</v>
      </c>
      <c r="D716" s="23" t="s">
        <v>153</v>
      </c>
      <c r="E716" s="43" t="s">
        <v>14</v>
      </c>
      <c r="F716" s="50"/>
      <c r="G716" s="50">
        <f>I640*ÍndiceCorreçãoNC!$C$13</f>
        <v>0</v>
      </c>
      <c r="H716" s="50">
        <f t="shared" si="30"/>
        <v>0</v>
      </c>
      <c r="I716" s="50">
        <f t="shared" si="31"/>
        <v>347405.61255000002</v>
      </c>
      <c r="J716" s="106" t="str">
        <f t="shared" si="32"/>
        <v/>
      </c>
      <c r="K716" s="105"/>
    </row>
    <row r="717" spans="2:11" ht="12.95" customHeight="1" x14ac:dyDescent="0.25">
      <c r="B717" s="45" t="str">
        <f>VLOOKUP(C717,SintéticoNC!$F$4:$G$83,2,FALSE)</f>
        <v>Leo de Brito</v>
      </c>
      <c r="C717" s="42" t="s">
        <v>89</v>
      </c>
      <c r="D717" s="23" t="s">
        <v>153</v>
      </c>
      <c r="E717" s="43" t="s">
        <v>14</v>
      </c>
      <c r="F717" s="50"/>
      <c r="G717" s="50">
        <f>I641*ÍndiceCorreçãoNC!$C$13</f>
        <v>0</v>
      </c>
      <c r="H717" s="50">
        <f t="shared" si="30"/>
        <v>0</v>
      </c>
      <c r="I717" s="50">
        <f t="shared" si="31"/>
        <v>432998.29969999997</v>
      </c>
      <c r="J717" s="106" t="str">
        <f t="shared" si="32"/>
        <v/>
      </c>
      <c r="K717" s="105"/>
    </row>
    <row r="718" spans="2:11" ht="12.95" customHeight="1" x14ac:dyDescent="0.25">
      <c r="B718" s="45" t="str">
        <f>VLOOKUP(C718,SintéticoNC!$F$4:$G$83,2,FALSE)</f>
        <v>Leur Lomanto</v>
      </c>
      <c r="C718" s="42" t="s">
        <v>92</v>
      </c>
      <c r="D718" s="23" t="s">
        <v>153</v>
      </c>
      <c r="E718" s="43" t="s">
        <v>14</v>
      </c>
      <c r="F718" s="50"/>
      <c r="G718" s="50">
        <f>I642*ÍndiceCorreçãoNC!$C$13</f>
        <v>0</v>
      </c>
      <c r="H718" s="50">
        <f t="shared" si="30"/>
        <v>0</v>
      </c>
      <c r="I718" s="50">
        <f t="shared" si="31"/>
        <v>66563.217456416998</v>
      </c>
      <c r="J718" s="106" t="str">
        <f t="shared" si="32"/>
        <v/>
      </c>
      <c r="K718" s="105"/>
    </row>
    <row r="719" spans="2:11" ht="12.95" customHeight="1" x14ac:dyDescent="0.25">
      <c r="B719" s="45" t="str">
        <f>VLOOKUP(C719,SintéticoNC!$F$4:$G$83,2,FALSE)</f>
        <v>Luciano Bivar</v>
      </c>
      <c r="C719" s="42" t="s">
        <v>95</v>
      </c>
      <c r="D719" s="23" t="s">
        <v>153</v>
      </c>
      <c r="E719" s="43" t="s">
        <v>14</v>
      </c>
      <c r="F719" s="50"/>
      <c r="G719" s="50">
        <f>I643*ÍndiceCorreçãoNC!$C$13</f>
        <v>0</v>
      </c>
      <c r="H719" s="50">
        <f t="shared" si="30"/>
        <v>0</v>
      </c>
      <c r="I719" s="50">
        <f t="shared" si="31"/>
        <v>2492.2979341616001</v>
      </c>
      <c r="J719" s="106" t="str">
        <f t="shared" si="32"/>
        <v/>
      </c>
      <c r="K719" s="105"/>
    </row>
    <row r="720" spans="2:11" ht="12.95" customHeight="1" x14ac:dyDescent="0.25">
      <c r="B720" s="45" t="str">
        <f>VLOOKUP(C720,SintéticoNC!$F$4:$G$83,2,FALSE)</f>
        <v>Luis Tibé</v>
      </c>
      <c r="C720" s="42" t="s">
        <v>98</v>
      </c>
      <c r="D720" s="23" t="s">
        <v>153</v>
      </c>
      <c r="E720" s="43" t="s">
        <v>14</v>
      </c>
      <c r="F720" s="50"/>
      <c r="G720" s="50">
        <f>I644*ÍndiceCorreçãoNC!$C$13</f>
        <v>0</v>
      </c>
      <c r="H720" s="50">
        <f t="shared" si="30"/>
        <v>0</v>
      </c>
      <c r="I720" s="50">
        <f t="shared" si="31"/>
        <v>208443.36752999999</v>
      </c>
      <c r="J720" s="106" t="str">
        <f t="shared" si="32"/>
        <v/>
      </c>
      <c r="K720" s="105"/>
    </row>
    <row r="721" spans="2:11" ht="12.95" customHeight="1" x14ac:dyDescent="0.25">
      <c r="B721" s="45" t="str">
        <f>VLOOKUP(C721,SintéticoNC!$F$4:$G$83,2,FALSE)</f>
        <v>Mara Rocha</v>
      </c>
      <c r="C721" s="42" t="s">
        <v>101</v>
      </c>
      <c r="D721" s="23" t="s">
        <v>153</v>
      </c>
      <c r="E721" s="43" t="s">
        <v>14</v>
      </c>
      <c r="F721" s="50"/>
      <c r="G721" s="50">
        <f>I645*ÍndiceCorreçãoNC!$C$13</f>
        <v>0</v>
      </c>
      <c r="H721" s="50">
        <f t="shared" si="30"/>
        <v>0</v>
      </c>
      <c r="I721" s="50">
        <f t="shared" si="31"/>
        <v>411222.61381352897</v>
      </c>
      <c r="J721" s="106" t="str">
        <f t="shared" si="32"/>
        <v/>
      </c>
      <c r="K721" s="105"/>
    </row>
    <row r="722" spans="2:11" ht="12.95" customHeight="1" x14ac:dyDescent="0.25">
      <c r="B722" s="45" t="str">
        <f>VLOOKUP(C722,SintéticoNC!$F$4:$G$83,2,FALSE)</f>
        <v>Marx Beltrão</v>
      </c>
      <c r="C722" s="42" t="s">
        <v>104</v>
      </c>
      <c r="D722" s="23" t="s">
        <v>153</v>
      </c>
      <c r="E722" s="43" t="s">
        <v>14</v>
      </c>
      <c r="F722" s="50"/>
      <c r="G722" s="50">
        <f>I646*ÍndiceCorreçãoNC!$C$13</f>
        <v>0</v>
      </c>
      <c r="H722" s="50">
        <f t="shared" ref="H722:H785" si="33">IF(I646+G722&gt;F722,F722,I646+G722)</f>
        <v>0</v>
      </c>
      <c r="I722" s="50">
        <f t="shared" ref="I722:I785" si="34">IF(F722&gt;I646+G722,"",I646+G722-F722)</f>
        <v>208443.36752999999</v>
      </c>
      <c r="J722" s="106" t="str">
        <f t="shared" ref="J722:J785" si="35">IF(I722="",F722-(I646+G722),"")</f>
        <v/>
      </c>
      <c r="K722" s="105"/>
    </row>
    <row r="723" spans="2:11" ht="12.95" customHeight="1" x14ac:dyDescent="0.25">
      <c r="B723" s="45" t="str">
        <f>VLOOKUP(C723,SintéticoNC!$F$4:$G$83,2,FALSE)</f>
        <v>Ministério das Comunicações</v>
      </c>
      <c r="C723" s="42" t="s">
        <v>107</v>
      </c>
      <c r="D723" s="23" t="s">
        <v>153</v>
      </c>
      <c r="E723" s="43" t="s">
        <v>14</v>
      </c>
      <c r="F723" s="50"/>
      <c r="G723" s="50">
        <f>I647*ÍndiceCorreçãoNC!$C$13</f>
        <v>0</v>
      </c>
      <c r="H723" s="50">
        <f t="shared" si="33"/>
        <v>0</v>
      </c>
      <c r="I723" s="50">
        <f t="shared" si="34"/>
        <v>15499755.251688881</v>
      </c>
      <c r="J723" s="106" t="str">
        <f t="shared" si="35"/>
        <v/>
      </c>
      <c r="K723" s="105"/>
    </row>
    <row r="724" spans="2:11" ht="12.95" customHeight="1" x14ac:dyDescent="0.25">
      <c r="B724" s="45" t="str">
        <f>VLOOKUP(C724,SintéticoNC!$F$4:$G$83,2,FALSE)</f>
        <v>Ministério das Comunicações</v>
      </c>
      <c r="C724" s="42" t="s">
        <v>109</v>
      </c>
      <c r="D724" s="23" t="s">
        <v>153</v>
      </c>
      <c r="E724" s="43" t="s">
        <v>14</v>
      </c>
      <c r="F724" s="50"/>
      <c r="G724" s="50">
        <f>I648*ÍndiceCorreçãoNC!$C$13</f>
        <v>0</v>
      </c>
      <c r="H724" s="50">
        <f t="shared" si="33"/>
        <v>0</v>
      </c>
      <c r="I724" s="50">
        <f t="shared" si="34"/>
        <v>3713715.64952</v>
      </c>
      <c r="J724" s="106" t="str">
        <f t="shared" si="35"/>
        <v/>
      </c>
      <c r="K724" s="105"/>
    </row>
    <row r="725" spans="2:11" ht="12.95" customHeight="1" x14ac:dyDescent="0.25">
      <c r="B725" s="45" t="str">
        <f>VLOOKUP(C725,SintéticoNC!$F$4:$G$83,2,FALSE)</f>
        <v>Ministério das Comunicações</v>
      </c>
      <c r="C725" s="42" t="s">
        <v>111</v>
      </c>
      <c r="D725" s="23" t="s">
        <v>153</v>
      </c>
      <c r="E725" s="43" t="s">
        <v>14</v>
      </c>
      <c r="F725" s="50"/>
      <c r="G725" s="50">
        <f>I649*ÍndiceCorreçãoNC!$C$13</f>
        <v>0</v>
      </c>
      <c r="H725" s="50">
        <f t="shared" si="33"/>
        <v>0</v>
      </c>
      <c r="I725" s="50">
        <f t="shared" si="34"/>
        <v>10069727.9</v>
      </c>
      <c r="J725" s="106" t="str">
        <f t="shared" si="35"/>
        <v/>
      </c>
      <c r="K725" s="105"/>
    </row>
    <row r="726" spans="2:11" ht="12.95" customHeight="1" x14ac:dyDescent="0.25">
      <c r="B726" s="45" t="str">
        <f>VLOOKUP(C726,SintéticoNC!$F$4:$G$83,2,FALSE)</f>
        <v>Ministério da Educação</v>
      </c>
      <c r="C726" s="42" t="s">
        <v>114</v>
      </c>
      <c r="D726" s="23" t="s">
        <v>153</v>
      </c>
      <c r="E726" s="43" t="s">
        <v>14</v>
      </c>
      <c r="F726" s="50"/>
      <c r="G726" s="50">
        <f>I650*ÍndiceCorreçãoNC!$C$13</f>
        <v>0</v>
      </c>
      <c r="H726" s="50">
        <f t="shared" si="33"/>
        <v>0</v>
      </c>
      <c r="I726" s="50">
        <f t="shared" si="34"/>
        <v>16980781.538382418</v>
      </c>
      <c r="J726" s="106" t="str">
        <f t="shared" si="35"/>
        <v/>
      </c>
      <c r="K726" s="105"/>
    </row>
    <row r="727" spans="2:11" ht="12.95" customHeight="1" x14ac:dyDescent="0.25">
      <c r="B727" s="45" t="str">
        <f>VLOOKUP(C727,SintéticoNC!$F$4:$G$83,2,FALSE)</f>
        <v>Ministério da Educação</v>
      </c>
      <c r="C727" s="42" t="s">
        <v>116</v>
      </c>
      <c r="D727" s="23" t="s">
        <v>153</v>
      </c>
      <c r="E727" s="43" t="s">
        <v>14</v>
      </c>
      <c r="F727" s="50"/>
      <c r="G727" s="50">
        <f>I651*ÍndiceCorreçãoNC!$C$13</f>
        <v>0</v>
      </c>
      <c r="H727" s="50">
        <f t="shared" si="33"/>
        <v>0</v>
      </c>
      <c r="I727" s="50">
        <f t="shared" si="34"/>
        <v>3706666.8399899998</v>
      </c>
      <c r="J727" s="106" t="str">
        <f t="shared" si="35"/>
        <v/>
      </c>
      <c r="K727" s="105"/>
    </row>
    <row r="728" spans="2:11" ht="12.95" customHeight="1" x14ac:dyDescent="0.25">
      <c r="B728" s="45" t="str">
        <f>VLOOKUP(C728,SintéticoNC!$F$4:$G$83,2,FALSE)</f>
        <v>Ministério da Justiça</v>
      </c>
      <c r="C728" s="42" t="s">
        <v>119</v>
      </c>
      <c r="D728" s="23" t="s">
        <v>153</v>
      </c>
      <c r="E728" s="43" t="s">
        <v>14</v>
      </c>
      <c r="F728" s="50"/>
      <c r="G728" s="50">
        <f>I652*ÍndiceCorreçãoNC!$C$13</f>
        <v>0</v>
      </c>
      <c r="H728" s="50">
        <f t="shared" si="33"/>
        <v>0</v>
      </c>
      <c r="I728" s="50">
        <f t="shared" si="34"/>
        <v>630294.98193109501</v>
      </c>
      <c r="J728" s="106" t="str">
        <f t="shared" si="35"/>
        <v/>
      </c>
      <c r="K728" s="105"/>
    </row>
    <row r="729" spans="2:11" ht="12.95" customHeight="1" x14ac:dyDescent="0.25">
      <c r="B729" s="45" t="str">
        <f>VLOOKUP(C729,SintéticoNC!$F$4:$G$83,2,FALSE)</f>
        <v>Ministério do Meio Ambiente</v>
      </c>
      <c r="C729" s="42" t="s">
        <v>122</v>
      </c>
      <c r="D729" s="23" t="s">
        <v>153</v>
      </c>
      <c r="E729" s="43" t="s">
        <v>14</v>
      </c>
      <c r="F729" s="50"/>
      <c r="G729" s="50">
        <f>I653*ÍndiceCorreçãoNC!$C$13</f>
        <v>0</v>
      </c>
      <c r="H729" s="50">
        <f t="shared" si="33"/>
        <v>0</v>
      </c>
      <c r="I729" s="50">
        <f t="shared" si="34"/>
        <v>108551.66676199999</v>
      </c>
      <c r="J729" s="106" t="str">
        <f t="shared" si="35"/>
        <v/>
      </c>
      <c r="K729" s="105"/>
    </row>
    <row r="730" spans="2:11" ht="12.95" customHeight="1" x14ac:dyDescent="0.25">
      <c r="B730" s="45" t="str">
        <f>VLOOKUP(C730,SintéticoNC!$F$4:$G$83,2,FALSE)</f>
        <v>Perpétua Almeida</v>
      </c>
      <c r="C730" s="42" t="s">
        <v>125</v>
      </c>
      <c r="D730" s="23" t="s">
        <v>153</v>
      </c>
      <c r="E730" s="43" t="s">
        <v>14</v>
      </c>
      <c r="F730" s="50"/>
      <c r="G730" s="50">
        <f>I654*ÍndiceCorreçãoNC!$C$13</f>
        <v>0</v>
      </c>
      <c r="H730" s="50">
        <f t="shared" si="33"/>
        <v>0</v>
      </c>
      <c r="I730" s="50">
        <f t="shared" si="34"/>
        <v>416886.73505999998</v>
      </c>
      <c r="J730" s="106" t="str">
        <f t="shared" si="35"/>
        <v/>
      </c>
      <c r="K730" s="105"/>
    </row>
    <row r="731" spans="2:11" ht="12.95" customHeight="1" x14ac:dyDescent="0.25">
      <c r="B731" s="45" t="str">
        <f>VLOOKUP(C731,SintéticoNC!$F$4:$G$83,2,FALSE)</f>
        <v>PRF RO</v>
      </c>
      <c r="C731" s="42" t="s">
        <v>128</v>
      </c>
      <c r="D731" s="23" t="s">
        <v>153</v>
      </c>
      <c r="E731" s="43" t="s">
        <v>14</v>
      </c>
      <c r="F731" s="50"/>
      <c r="G731" s="50">
        <f>I655*ÍndiceCorreçãoNC!$C$13</f>
        <v>0</v>
      </c>
      <c r="H731" s="50">
        <f t="shared" si="33"/>
        <v>0</v>
      </c>
      <c r="I731" s="50">
        <f t="shared" si="34"/>
        <v>46723.537455999998</v>
      </c>
      <c r="J731" s="106" t="str">
        <f t="shared" si="35"/>
        <v/>
      </c>
      <c r="K731" s="105"/>
    </row>
    <row r="732" spans="2:11" ht="12.95" customHeight="1" x14ac:dyDescent="0.25">
      <c r="B732" s="45" t="str">
        <f>VLOOKUP(C732,SintéticoNC!$F$4:$G$83,2,FALSE)</f>
        <v>Senador Confúcio Moura</v>
      </c>
      <c r="C732" s="42" t="s">
        <v>131</v>
      </c>
      <c r="D732" s="23" t="s">
        <v>153</v>
      </c>
      <c r="E732" s="43" t="s">
        <v>14</v>
      </c>
      <c r="F732" s="50"/>
      <c r="G732" s="50">
        <f>I656*ÍndiceCorreçãoNC!$C$13</f>
        <v>0</v>
      </c>
      <c r="H732" s="50">
        <f t="shared" si="33"/>
        <v>0</v>
      </c>
      <c r="I732" s="50">
        <f t="shared" si="34"/>
        <v>345423.16507887124</v>
      </c>
      <c r="J732" s="106" t="str">
        <f t="shared" si="35"/>
        <v/>
      </c>
      <c r="K732" s="105"/>
    </row>
    <row r="733" spans="2:11" ht="12.95" customHeight="1" x14ac:dyDescent="0.25">
      <c r="B733" s="45" t="str">
        <f>VLOOKUP(C733,SintéticoNC!$F$4:$G$83,2,FALSE)</f>
        <v>Sérgio Petecão</v>
      </c>
      <c r="C733" s="42" t="s">
        <v>134</v>
      </c>
      <c r="D733" s="23" t="s">
        <v>153</v>
      </c>
      <c r="E733" s="43" t="s">
        <v>14</v>
      </c>
      <c r="F733" s="50"/>
      <c r="G733" s="50">
        <f>I657*ÍndiceCorreçãoNC!$C$13</f>
        <v>0</v>
      </c>
      <c r="H733" s="50">
        <f t="shared" si="33"/>
        <v>0</v>
      </c>
      <c r="I733" s="50">
        <f t="shared" si="34"/>
        <v>286973.14753094001</v>
      </c>
      <c r="J733" s="106" t="str">
        <f t="shared" si="35"/>
        <v/>
      </c>
      <c r="K733" s="105"/>
    </row>
    <row r="734" spans="2:11" ht="12.95" customHeight="1" x14ac:dyDescent="0.25">
      <c r="B734" s="45" t="str">
        <f>VLOOKUP(C734,SintéticoNC!$F$4:$G$83,2,FALSE)</f>
        <v>Soraya Thronicke</v>
      </c>
      <c r="C734" s="42" t="s">
        <v>137</v>
      </c>
      <c r="D734" s="23" t="s">
        <v>153</v>
      </c>
      <c r="E734" s="43" t="s">
        <v>14</v>
      </c>
      <c r="F734" s="50"/>
      <c r="G734" s="50">
        <f>I658*ÍndiceCorreçãoNC!$C$13</f>
        <v>0</v>
      </c>
      <c r="H734" s="50">
        <f t="shared" si="33"/>
        <v>0</v>
      </c>
      <c r="I734" s="50">
        <f t="shared" si="34"/>
        <v>347405.61255000002</v>
      </c>
      <c r="J734" s="106" t="str">
        <f t="shared" si="35"/>
        <v/>
      </c>
      <c r="K734" s="105"/>
    </row>
    <row r="735" spans="2:11" ht="12.95" customHeight="1" x14ac:dyDescent="0.25">
      <c r="B735" s="45" t="str">
        <f>VLOOKUP(C735,SintéticoNC!$F$4:$G$83,2,FALSE)</f>
        <v>Uldurico Junior</v>
      </c>
      <c r="C735" s="42" t="s">
        <v>140</v>
      </c>
      <c r="D735" s="23" t="s">
        <v>153</v>
      </c>
      <c r="E735" s="43" t="s">
        <v>14</v>
      </c>
      <c r="F735" s="50"/>
      <c r="G735" s="50">
        <f>I659*ÍndiceCorreçãoNC!$C$13</f>
        <v>0</v>
      </c>
      <c r="H735" s="50">
        <f t="shared" si="33"/>
        <v>0</v>
      </c>
      <c r="I735" s="50">
        <f t="shared" si="34"/>
        <v>311154.59211000003</v>
      </c>
      <c r="J735" s="106" t="str">
        <f t="shared" si="35"/>
        <v/>
      </c>
      <c r="K735" s="105"/>
    </row>
    <row r="736" spans="2:11" ht="12.95" customHeight="1" x14ac:dyDescent="0.25">
      <c r="B736" s="45" t="str">
        <f>VLOOKUP(C736,SintéticoNC!$F$4:$G$83,2,FALSE)</f>
        <v>Bancada de Alagoas</v>
      </c>
      <c r="C736" s="42" t="s">
        <v>156</v>
      </c>
      <c r="D736" s="23" t="s">
        <v>216</v>
      </c>
      <c r="E736" s="43" t="s">
        <v>14</v>
      </c>
      <c r="F736" s="50"/>
      <c r="G736" s="50">
        <f>I660*ÍndiceCorreçãoNC!$C$13</f>
        <v>0</v>
      </c>
      <c r="H736" s="50">
        <f t="shared" si="33"/>
        <v>0</v>
      </c>
      <c r="I736" s="50">
        <f t="shared" si="34"/>
        <v>612239.45632</v>
      </c>
      <c r="J736" s="106" t="str">
        <f t="shared" si="35"/>
        <v/>
      </c>
      <c r="K736" s="105"/>
    </row>
    <row r="737" spans="2:11" ht="12.95" customHeight="1" x14ac:dyDescent="0.25">
      <c r="B737" s="45" t="str">
        <f>VLOOKUP(C737,SintéticoNC!$F$4:$G$83,2,FALSE)</f>
        <v>Bancada de Alagoas</v>
      </c>
      <c r="C737" s="42" t="s">
        <v>158</v>
      </c>
      <c r="D737" s="23" t="s">
        <v>216</v>
      </c>
      <c r="E737" s="43" t="s">
        <v>14</v>
      </c>
      <c r="F737" s="50"/>
      <c r="G737" s="50">
        <f>I661*ÍndiceCorreçãoNC!$C$13</f>
        <v>0</v>
      </c>
      <c r="H737" s="50">
        <f t="shared" si="33"/>
        <v>0</v>
      </c>
      <c r="I737" s="50">
        <f t="shared" si="34"/>
        <v>176220.23824999999</v>
      </c>
      <c r="J737" s="106" t="str">
        <f t="shared" si="35"/>
        <v/>
      </c>
      <c r="K737" s="105"/>
    </row>
    <row r="738" spans="2:11" ht="12.95" customHeight="1" x14ac:dyDescent="0.25">
      <c r="B738" s="45" t="str">
        <f>VLOOKUP(C738,SintéticoNC!$F$4:$G$83,2,FALSE)</f>
        <v>Bancada de Alagoas</v>
      </c>
      <c r="C738" s="42" t="s">
        <v>160</v>
      </c>
      <c r="D738" s="23" t="s">
        <v>216</v>
      </c>
      <c r="E738" s="43" t="s">
        <v>14</v>
      </c>
      <c r="F738" s="50"/>
      <c r="G738" s="50">
        <f>I662*ÍndiceCorreçãoNC!$C$13</f>
        <v>0</v>
      </c>
      <c r="H738" s="50">
        <f t="shared" si="33"/>
        <v>0</v>
      </c>
      <c r="I738" s="50">
        <f t="shared" si="34"/>
        <v>755229.59250000003</v>
      </c>
      <c r="J738" s="106" t="str">
        <f t="shared" si="35"/>
        <v/>
      </c>
      <c r="K738" s="105"/>
    </row>
    <row r="739" spans="2:11" ht="12.95" customHeight="1" x14ac:dyDescent="0.25">
      <c r="B739" s="45" t="str">
        <f>VLOOKUP(C739,SintéticoNC!$F$4:$G$83,2,FALSE)</f>
        <v>Bancada de Minas Gerais</v>
      </c>
      <c r="C739" s="42" t="s">
        <v>162</v>
      </c>
      <c r="D739" s="23" t="s">
        <v>216</v>
      </c>
      <c r="E739" s="43" t="s">
        <v>14</v>
      </c>
      <c r="F739" s="50"/>
      <c r="G739" s="50">
        <f>I663*ÍndiceCorreçãoNC!$C$13</f>
        <v>0</v>
      </c>
      <c r="H739" s="50">
        <f t="shared" si="33"/>
        <v>0</v>
      </c>
      <c r="I739" s="50">
        <f t="shared" si="34"/>
        <v>5236258.5080000004</v>
      </c>
      <c r="J739" s="106" t="str">
        <f t="shared" si="35"/>
        <v/>
      </c>
      <c r="K739" s="105"/>
    </row>
    <row r="740" spans="2:11" ht="12.95" customHeight="1" x14ac:dyDescent="0.25">
      <c r="B740" s="45" t="str">
        <f>VLOOKUP(C740,SintéticoNC!$F$4:$G$83,2,FALSE)</f>
        <v>Bancada de São Paulo</v>
      </c>
      <c r="C740" s="42" t="s">
        <v>164</v>
      </c>
      <c r="D740" s="23" t="s">
        <v>216</v>
      </c>
      <c r="E740" s="43" t="s">
        <v>14</v>
      </c>
      <c r="F740" s="50"/>
      <c r="G740" s="50">
        <f>I664*ÍndiceCorreçãoNC!$C$13</f>
        <v>0</v>
      </c>
      <c r="H740" s="50">
        <f t="shared" si="33"/>
        <v>0</v>
      </c>
      <c r="I740" s="50">
        <f t="shared" si="34"/>
        <v>700128.04143119999</v>
      </c>
      <c r="J740" s="106" t="str">
        <f t="shared" si="35"/>
        <v/>
      </c>
      <c r="K740" s="105"/>
    </row>
    <row r="741" spans="2:11" ht="12.95" customHeight="1" x14ac:dyDescent="0.25">
      <c r="B741" s="45" t="str">
        <f>VLOOKUP(C741,SintéticoNC!$F$4:$G$83,2,FALSE)</f>
        <v>Bancada do Espírito Santo</v>
      </c>
      <c r="C741" s="42" t="s">
        <v>166</v>
      </c>
      <c r="D741" s="23" t="s">
        <v>216</v>
      </c>
      <c r="E741" s="43" t="s">
        <v>14</v>
      </c>
      <c r="F741" s="50"/>
      <c r="G741" s="50">
        <f>I665*ÍndiceCorreçãoNC!$C$13</f>
        <v>0</v>
      </c>
      <c r="H741" s="50">
        <f t="shared" si="33"/>
        <v>0</v>
      </c>
      <c r="I741" s="50">
        <f t="shared" si="34"/>
        <v>788459.69457000005</v>
      </c>
      <c r="J741" s="106" t="str">
        <f t="shared" si="35"/>
        <v/>
      </c>
      <c r="K741" s="105"/>
    </row>
    <row r="742" spans="2:11" ht="12.95" customHeight="1" x14ac:dyDescent="0.25">
      <c r="B742" s="45" t="str">
        <f>VLOOKUP(C742,SintéticoNC!$F$4:$G$83,2,FALSE)</f>
        <v>Bancada do Espírito Santo</v>
      </c>
      <c r="C742" s="42" t="s">
        <v>168</v>
      </c>
      <c r="D742" s="23" t="s">
        <v>216</v>
      </c>
      <c r="E742" s="43" t="s">
        <v>14</v>
      </c>
      <c r="F742" s="50"/>
      <c r="G742" s="50">
        <f>I666*ÍndiceCorreçãoNC!$C$13</f>
        <v>0</v>
      </c>
      <c r="H742" s="50">
        <f t="shared" si="33"/>
        <v>0</v>
      </c>
      <c r="I742" s="50">
        <f t="shared" si="34"/>
        <v>846012.20733993209</v>
      </c>
      <c r="J742" s="106" t="str">
        <f t="shared" si="35"/>
        <v/>
      </c>
      <c r="K742" s="105"/>
    </row>
    <row r="743" spans="2:11" ht="12.95" customHeight="1" x14ac:dyDescent="0.25">
      <c r="B743" s="45" t="str">
        <f>VLOOKUP(C743,SintéticoNC!$F$4:$G$83,2,FALSE)</f>
        <v>Bancada do Pará</v>
      </c>
      <c r="C743" s="42" t="s">
        <v>170</v>
      </c>
      <c r="D743" s="23" t="s">
        <v>216</v>
      </c>
      <c r="E743" s="43" t="s">
        <v>14</v>
      </c>
      <c r="F743" s="50"/>
      <c r="G743" s="50">
        <f>I667*ÍndiceCorreçãoNC!$C$13</f>
        <v>0</v>
      </c>
      <c r="H743" s="50">
        <f t="shared" si="33"/>
        <v>0</v>
      </c>
      <c r="I743" s="50">
        <f t="shared" si="34"/>
        <v>185282.99335999999</v>
      </c>
      <c r="J743" s="106" t="str">
        <f t="shared" si="35"/>
        <v/>
      </c>
      <c r="K743" s="105"/>
    </row>
    <row r="744" spans="2:11" ht="12.95" customHeight="1" x14ac:dyDescent="0.25">
      <c r="B744" s="45" t="str">
        <f>VLOOKUP(C744,SintéticoNC!$F$4:$G$83,2,FALSE)</f>
        <v>Bancada do Pará</v>
      </c>
      <c r="C744" s="42" t="s">
        <v>172</v>
      </c>
      <c r="D744" s="23" t="s">
        <v>216</v>
      </c>
      <c r="E744" s="43" t="s">
        <v>14</v>
      </c>
      <c r="F744" s="50"/>
      <c r="G744" s="50">
        <f>I668*ÍndiceCorreçãoNC!$C$13</f>
        <v>0</v>
      </c>
      <c r="H744" s="50">
        <f t="shared" si="33"/>
        <v>0</v>
      </c>
      <c r="I744" s="50">
        <f t="shared" si="34"/>
        <v>314598.4390518</v>
      </c>
      <c r="J744" s="106" t="str">
        <f t="shared" si="35"/>
        <v/>
      </c>
      <c r="K744" s="105"/>
    </row>
    <row r="745" spans="2:11" ht="12.95" customHeight="1" x14ac:dyDescent="0.25">
      <c r="B745" s="45" t="str">
        <f>VLOOKUP(C745,SintéticoNC!$F$4:$G$83,2,FALSE)</f>
        <v>Coronel Chrisóstomo</v>
      </c>
      <c r="C745" s="42" t="s">
        <v>174</v>
      </c>
      <c r="D745" s="23" t="s">
        <v>216</v>
      </c>
      <c r="E745" s="43" t="s">
        <v>14</v>
      </c>
      <c r="F745" s="50"/>
      <c r="G745" s="50">
        <f>I669*ÍndiceCorreçãoNC!$C$13</f>
        <v>0</v>
      </c>
      <c r="H745" s="50">
        <f t="shared" si="33"/>
        <v>0</v>
      </c>
      <c r="I745" s="50">
        <f t="shared" si="34"/>
        <v>61928.826585000003</v>
      </c>
      <c r="J745" s="106" t="str">
        <f t="shared" si="35"/>
        <v/>
      </c>
      <c r="K745" s="105"/>
    </row>
    <row r="746" spans="2:11" ht="12.95" customHeight="1" x14ac:dyDescent="0.25">
      <c r="B746" s="45" t="str">
        <f>VLOOKUP(C746,SintéticoNC!$F$4:$G$83,2,FALSE)</f>
        <v>Dimas Fabiano</v>
      </c>
      <c r="C746" s="42" t="s">
        <v>176</v>
      </c>
      <c r="D746" s="23" t="s">
        <v>216</v>
      </c>
      <c r="E746" s="43" t="s">
        <v>14</v>
      </c>
      <c r="F746" s="50"/>
      <c r="G746" s="50">
        <f>I670*ÍndiceCorreçãoNC!$C$13</f>
        <v>0</v>
      </c>
      <c r="H746" s="50">
        <f t="shared" si="33"/>
        <v>0</v>
      </c>
      <c r="I746" s="50">
        <f t="shared" si="34"/>
        <v>93648.469469999996</v>
      </c>
      <c r="J746" s="106" t="str">
        <f t="shared" si="35"/>
        <v/>
      </c>
      <c r="K746" s="105"/>
    </row>
    <row r="747" spans="2:11" ht="12.95" customHeight="1" x14ac:dyDescent="0.25">
      <c r="B747" s="45" t="str">
        <f>VLOOKUP(C747,SintéticoNC!$F$4:$G$83,2,FALSE)</f>
        <v>Edna Henrique</v>
      </c>
      <c r="C747" s="42" t="s">
        <v>178</v>
      </c>
      <c r="D747" s="23" t="s">
        <v>216</v>
      </c>
      <c r="E747" s="43" t="s">
        <v>14</v>
      </c>
      <c r="F747" s="50"/>
      <c r="G747" s="50">
        <f>I671*ÍndiceCorreçãoNC!$C$13</f>
        <v>0</v>
      </c>
      <c r="H747" s="50">
        <f t="shared" si="33"/>
        <v>0</v>
      </c>
      <c r="I747" s="50">
        <f t="shared" si="34"/>
        <v>92641.496679999997</v>
      </c>
      <c r="J747" s="106" t="str">
        <f t="shared" si="35"/>
        <v/>
      </c>
      <c r="K747" s="105"/>
    </row>
    <row r="748" spans="2:11" ht="12.95" customHeight="1" x14ac:dyDescent="0.25">
      <c r="B748" s="45" t="str">
        <f>VLOOKUP(C748,SintéticoNC!$F$4:$G$83,2,FALSE)</f>
        <v>Fabio Reis</v>
      </c>
      <c r="C748" s="42" t="s">
        <v>180</v>
      </c>
      <c r="D748" s="23" t="s">
        <v>216</v>
      </c>
      <c r="E748" s="43" t="s">
        <v>14</v>
      </c>
      <c r="F748" s="50"/>
      <c r="G748" s="50">
        <f>I672*ÍndiceCorreçãoNC!$C$13</f>
        <v>0</v>
      </c>
      <c r="H748" s="50">
        <f t="shared" si="33"/>
        <v>0</v>
      </c>
      <c r="I748" s="50">
        <f t="shared" si="34"/>
        <v>42172.020445200003</v>
      </c>
      <c r="J748" s="106" t="str">
        <f t="shared" si="35"/>
        <v/>
      </c>
      <c r="K748" s="105"/>
    </row>
    <row r="749" spans="2:11" ht="12.95" customHeight="1" x14ac:dyDescent="0.25">
      <c r="B749" s="45" t="str">
        <f>VLOOKUP(C749,SintéticoNC!$F$4:$G$83,2,FALSE)</f>
        <v>Flavia Arruda</v>
      </c>
      <c r="C749" s="42" t="s">
        <v>182</v>
      </c>
      <c r="D749" s="23" t="s">
        <v>216</v>
      </c>
      <c r="E749" s="43" t="s">
        <v>14</v>
      </c>
      <c r="F749" s="50"/>
      <c r="G749" s="50">
        <f>I673*ÍndiceCorreçãoNC!$C$13</f>
        <v>0</v>
      </c>
      <c r="H749" s="50">
        <f t="shared" si="33"/>
        <v>0</v>
      </c>
      <c r="I749" s="50">
        <f t="shared" si="34"/>
        <v>371113.77991776</v>
      </c>
      <c r="J749" s="106" t="str">
        <f t="shared" si="35"/>
        <v/>
      </c>
      <c r="K749" s="105"/>
    </row>
    <row r="750" spans="2:11" ht="12.95" customHeight="1" x14ac:dyDescent="0.25">
      <c r="B750" s="45" t="str">
        <f>VLOOKUP(C750,SintéticoNC!$F$4:$G$83,2,FALSE)</f>
        <v>General Girão</v>
      </c>
      <c r="C750" s="42" t="s">
        <v>184</v>
      </c>
      <c r="D750" s="23" t="s">
        <v>216</v>
      </c>
      <c r="E750" s="43" t="s">
        <v>14</v>
      </c>
      <c r="F750" s="50"/>
      <c r="G750" s="50">
        <f>I674*ÍndiceCorreçãoNC!$C$13</f>
        <v>0</v>
      </c>
      <c r="H750" s="50">
        <f t="shared" si="33"/>
        <v>0</v>
      </c>
      <c r="I750" s="50">
        <f t="shared" si="34"/>
        <v>93648.469469999996</v>
      </c>
      <c r="J750" s="106" t="str">
        <f t="shared" si="35"/>
        <v/>
      </c>
      <c r="K750" s="105"/>
    </row>
    <row r="751" spans="2:11" ht="12.95" customHeight="1" x14ac:dyDescent="0.25">
      <c r="B751" s="45" t="str">
        <f>VLOOKUP(C751,SintéticoNC!$F$4:$G$83,2,FALSE)</f>
        <v>José Nunes</v>
      </c>
      <c r="C751" s="42" t="s">
        <v>186</v>
      </c>
      <c r="D751" s="23" t="s">
        <v>216</v>
      </c>
      <c r="E751" s="43" t="s">
        <v>14</v>
      </c>
      <c r="F751" s="50"/>
      <c r="G751" s="50">
        <f>I675*ÍndiceCorreçãoNC!$C$13</f>
        <v>0</v>
      </c>
      <c r="H751" s="50">
        <f t="shared" si="33"/>
        <v>0</v>
      </c>
      <c r="I751" s="50">
        <f t="shared" si="34"/>
        <v>93648.469469999996</v>
      </c>
      <c r="J751" s="106" t="str">
        <f t="shared" si="35"/>
        <v/>
      </c>
      <c r="K751" s="105"/>
    </row>
    <row r="752" spans="2:11" ht="12.95" customHeight="1" x14ac:dyDescent="0.25">
      <c r="B752" s="45" t="str">
        <f>VLOOKUP(C752,SintéticoNC!$F$4:$G$83,2,FALSE)</f>
        <v>Josivaldo JP</v>
      </c>
      <c r="C752" s="42" t="s">
        <v>188</v>
      </c>
      <c r="D752" s="23" t="s">
        <v>216</v>
      </c>
      <c r="E752" s="43" t="s">
        <v>14</v>
      </c>
      <c r="F752" s="50"/>
      <c r="G752" s="50">
        <f>I676*ÍndiceCorreçãoNC!$C$13</f>
        <v>0</v>
      </c>
      <c r="H752" s="50">
        <f t="shared" si="33"/>
        <v>0</v>
      </c>
      <c r="I752" s="50">
        <f t="shared" si="34"/>
        <v>48334.693919999998</v>
      </c>
      <c r="J752" s="106" t="str">
        <f t="shared" si="35"/>
        <v/>
      </c>
      <c r="K752" s="105"/>
    </row>
    <row r="753" spans="2:11" ht="12.95" customHeight="1" x14ac:dyDescent="0.25">
      <c r="B753" s="45" t="str">
        <f>VLOOKUP(C753,SintéticoNC!$F$4:$G$83,2,FALSE)</f>
        <v>Junior Lourenço</v>
      </c>
      <c r="C753" s="42" t="s">
        <v>190</v>
      </c>
      <c r="D753" s="23" t="s">
        <v>216</v>
      </c>
      <c r="E753" s="43" t="s">
        <v>14</v>
      </c>
      <c r="F753" s="50"/>
      <c r="G753" s="50">
        <f>I677*ÍndiceCorreçãoNC!$C$13</f>
        <v>0</v>
      </c>
      <c r="H753" s="50">
        <f t="shared" si="33"/>
        <v>0</v>
      </c>
      <c r="I753" s="50">
        <f t="shared" si="34"/>
        <v>156080.78245</v>
      </c>
      <c r="J753" s="106" t="str">
        <f t="shared" si="35"/>
        <v/>
      </c>
      <c r="K753" s="105"/>
    </row>
    <row r="754" spans="2:11" ht="12.95" customHeight="1" x14ac:dyDescent="0.25">
      <c r="B754" s="45" t="str">
        <f>VLOOKUP(C754,SintéticoNC!$F$4:$G$83,2,FALSE)</f>
        <v>Leo de Brito</v>
      </c>
      <c r="C754" s="42" t="s">
        <v>192</v>
      </c>
      <c r="D754" s="23" t="s">
        <v>216</v>
      </c>
      <c r="E754" s="43" t="s">
        <v>14</v>
      </c>
      <c r="F754" s="50"/>
      <c r="G754" s="50">
        <f>I678*ÍndiceCorreçãoNC!$C$13</f>
        <v>0</v>
      </c>
      <c r="H754" s="50">
        <f t="shared" si="33"/>
        <v>0</v>
      </c>
      <c r="I754" s="50">
        <f t="shared" si="34"/>
        <v>171185.3743</v>
      </c>
      <c r="J754" s="106" t="str">
        <f t="shared" si="35"/>
        <v/>
      </c>
      <c r="K754" s="105"/>
    </row>
    <row r="755" spans="2:11" ht="12.95" customHeight="1" x14ac:dyDescent="0.25">
      <c r="B755" s="45" t="str">
        <f>VLOOKUP(C755,SintéticoNC!$F$4:$G$83,2,FALSE)</f>
        <v>Luciano Bivar</v>
      </c>
      <c r="C755" s="42" t="s">
        <v>194</v>
      </c>
      <c r="D755" s="23" t="s">
        <v>216</v>
      </c>
      <c r="E755" s="43" t="s">
        <v>14</v>
      </c>
      <c r="F755" s="50"/>
      <c r="G755" s="50">
        <f>I679*ÍndiceCorreçãoNC!$C$13</f>
        <v>0</v>
      </c>
      <c r="H755" s="50">
        <f t="shared" si="33"/>
        <v>0</v>
      </c>
      <c r="I755" s="50">
        <f t="shared" si="34"/>
        <v>93648.469469999996</v>
      </c>
      <c r="J755" s="106" t="str">
        <f t="shared" si="35"/>
        <v/>
      </c>
      <c r="K755" s="105"/>
    </row>
    <row r="756" spans="2:11" ht="12.95" customHeight="1" x14ac:dyDescent="0.25">
      <c r="B756" s="45" t="str">
        <f>VLOOKUP(C756,SintéticoNC!$F$4:$G$83,2,FALSE)</f>
        <v>Luis Tibé</v>
      </c>
      <c r="C756" s="42" t="s">
        <v>196</v>
      </c>
      <c r="D756" s="23" t="s">
        <v>216</v>
      </c>
      <c r="E756" s="43" t="s">
        <v>14</v>
      </c>
      <c r="F756" s="50"/>
      <c r="G756" s="50">
        <f>I680*ÍndiceCorreçãoNC!$C$13</f>
        <v>0</v>
      </c>
      <c r="H756" s="50">
        <f t="shared" si="33"/>
        <v>0</v>
      </c>
      <c r="I756" s="50">
        <f t="shared" si="34"/>
        <v>93648.469469999996</v>
      </c>
      <c r="J756" s="106" t="str">
        <f t="shared" si="35"/>
        <v/>
      </c>
      <c r="K756" s="105"/>
    </row>
    <row r="757" spans="2:11" ht="12.95" customHeight="1" x14ac:dyDescent="0.25">
      <c r="B757" s="45" t="str">
        <f>VLOOKUP(C757,SintéticoNC!$F$4:$G$83,2,FALSE)</f>
        <v>Mara Rocha</v>
      </c>
      <c r="C757" s="42" t="s">
        <v>198</v>
      </c>
      <c r="D757" s="23" t="s">
        <v>216</v>
      </c>
      <c r="E757" s="43" t="s">
        <v>14</v>
      </c>
      <c r="F757" s="50"/>
      <c r="G757" s="50">
        <f>I681*ÍndiceCorreçãoNC!$C$13</f>
        <v>0</v>
      </c>
      <c r="H757" s="50">
        <f t="shared" si="33"/>
        <v>0</v>
      </c>
      <c r="I757" s="50">
        <f t="shared" si="34"/>
        <v>171185.3743</v>
      </c>
      <c r="J757" s="106" t="str">
        <f t="shared" si="35"/>
        <v/>
      </c>
      <c r="K757" s="105"/>
    </row>
    <row r="758" spans="2:11" ht="12.95" customHeight="1" x14ac:dyDescent="0.25">
      <c r="B758" s="45" t="str">
        <f>VLOOKUP(C758,SintéticoNC!$F$4:$G$83,2,FALSE)</f>
        <v>Marx Beltrão</v>
      </c>
      <c r="C758" s="42" t="s">
        <v>200</v>
      </c>
      <c r="D758" s="23" t="s">
        <v>216</v>
      </c>
      <c r="E758" s="43" t="s">
        <v>14</v>
      </c>
      <c r="F758" s="50"/>
      <c r="G758" s="50">
        <f>I682*ÍndiceCorreçãoNC!$C$13</f>
        <v>0</v>
      </c>
      <c r="H758" s="50">
        <f t="shared" si="33"/>
        <v>0</v>
      </c>
      <c r="I758" s="50">
        <f t="shared" si="34"/>
        <v>93648.469469999996</v>
      </c>
      <c r="J758" s="106" t="str">
        <f t="shared" si="35"/>
        <v/>
      </c>
      <c r="K758" s="105"/>
    </row>
    <row r="759" spans="2:11" ht="12.95" customHeight="1" x14ac:dyDescent="0.25">
      <c r="B759" s="45" t="str">
        <f>VLOOKUP(C759,SintéticoNC!$F$4:$G$83,2,FALSE)</f>
        <v>Perpétua Almeida</v>
      </c>
      <c r="C759" s="42" t="s">
        <v>202</v>
      </c>
      <c r="D759" s="23" t="s">
        <v>216</v>
      </c>
      <c r="E759" s="43" t="s">
        <v>14</v>
      </c>
      <c r="F759" s="50"/>
      <c r="G759" s="50">
        <f>I683*ÍndiceCorreçãoNC!$C$13</f>
        <v>0</v>
      </c>
      <c r="H759" s="50">
        <f t="shared" si="33"/>
        <v>0</v>
      </c>
      <c r="I759" s="50">
        <f t="shared" si="34"/>
        <v>194341.72057884</v>
      </c>
      <c r="J759" s="106" t="str">
        <f t="shared" si="35"/>
        <v/>
      </c>
      <c r="K759" s="105"/>
    </row>
    <row r="760" spans="2:11" ht="12.95" customHeight="1" x14ac:dyDescent="0.25">
      <c r="B760" s="45" t="str">
        <f>VLOOKUP(C760,SintéticoNC!$F$4:$G$83,2,FALSE)</f>
        <v>Sérgio Petecão</v>
      </c>
      <c r="C760" s="42" t="s">
        <v>204</v>
      </c>
      <c r="D760" s="23" t="s">
        <v>216</v>
      </c>
      <c r="E760" s="43" t="s">
        <v>14</v>
      </c>
      <c r="F760" s="50"/>
      <c r="G760" s="50">
        <f>I684*ÍndiceCorreçãoNC!$C$13</f>
        <v>0</v>
      </c>
      <c r="H760" s="50">
        <f t="shared" si="33"/>
        <v>0</v>
      </c>
      <c r="I760" s="50">
        <f t="shared" si="34"/>
        <v>133538.68957305999</v>
      </c>
      <c r="J760" s="106" t="str">
        <f t="shared" si="35"/>
        <v/>
      </c>
      <c r="K760" s="105"/>
    </row>
    <row r="761" spans="2:11" ht="12.95" customHeight="1" x14ac:dyDescent="0.25">
      <c r="B761" s="45" t="str">
        <f>VLOOKUP(C761,SintéticoNC!$F$4:$G$83,2,FALSE)</f>
        <v>Uldurico Junior</v>
      </c>
      <c r="C761" s="42" t="s">
        <v>206</v>
      </c>
      <c r="D761" s="23" t="s">
        <v>216</v>
      </c>
      <c r="E761" s="43" t="s">
        <v>14</v>
      </c>
      <c r="F761" s="50"/>
      <c r="G761" s="50">
        <f>I685*ÍndiceCorreçãoNC!$C$13</f>
        <v>0</v>
      </c>
      <c r="H761" s="50">
        <f t="shared" si="33"/>
        <v>0</v>
      </c>
      <c r="I761" s="50">
        <f t="shared" si="34"/>
        <v>141983.16339</v>
      </c>
      <c r="J761" s="106" t="str">
        <f t="shared" si="35"/>
        <v/>
      </c>
      <c r="K761" s="105"/>
    </row>
    <row r="762" spans="2:11" ht="12.95" customHeight="1" x14ac:dyDescent="0.25">
      <c r="B762" s="45" t="str">
        <f>VLOOKUP(C762,SintéticoNC!$F$4:$G$83,2,FALSE)</f>
        <v>Soraya Thronicke</v>
      </c>
      <c r="C762" s="42" t="s">
        <v>208</v>
      </c>
      <c r="D762" s="23" t="s">
        <v>216</v>
      </c>
      <c r="E762" s="43" t="s">
        <v>14</v>
      </c>
      <c r="F762" s="50"/>
      <c r="G762" s="50">
        <f>I686*ÍndiceCorreçãoNC!$C$13</f>
        <v>0</v>
      </c>
      <c r="H762" s="50">
        <f t="shared" si="33"/>
        <v>0</v>
      </c>
      <c r="I762" s="50">
        <f t="shared" si="34"/>
        <v>156080.78245</v>
      </c>
      <c r="J762" s="106" t="str">
        <f t="shared" si="35"/>
        <v/>
      </c>
      <c r="K762" s="105"/>
    </row>
    <row r="763" spans="2:11" ht="12.95" customHeight="1" x14ac:dyDescent="0.25">
      <c r="B763" s="45" t="str">
        <f>VLOOKUP(C763,SintéticoNC!$F$4:$G$83,2,FALSE)</f>
        <v>MCom</v>
      </c>
      <c r="C763" s="42" t="s">
        <v>211</v>
      </c>
      <c r="D763" s="23" t="s">
        <v>216</v>
      </c>
      <c r="E763" s="43" t="s">
        <v>14</v>
      </c>
      <c r="F763" s="50"/>
      <c r="G763" s="50">
        <f>I687*ÍndiceCorreçãoNC!$C$13</f>
        <v>0</v>
      </c>
      <c r="H763" s="50">
        <f t="shared" si="33"/>
        <v>0</v>
      </c>
      <c r="I763" s="50">
        <f t="shared" si="34"/>
        <v>503486.39500000002</v>
      </c>
      <c r="J763" s="106" t="str">
        <f t="shared" si="35"/>
        <v/>
      </c>
      <c r="K763" s="105"/>
    </row>
    <row r="764" spans="2:11" ht="12.95" customHeight="1" x14ac:dyDescent="0.25">
      <c r="B764" s="45" t="str">
        <f>VLOOKUP(C764,SintéticoNC!$F$4:$G$83,2,FALSE)</f>
        <v>Cabo Junio Amaral</v>
      </c>
      <c r="C764" s="42" t="s">
        <v>213</v>
      </c>
      <c r="D764" s="23" t="s">
        <v>216</v>
      </c>
      <c r="E764" s="43" t="s">
        <v>14</v>
      </c>
      <c r="F764" s="50"/>
      <c r="G764" s="50">
        <f>I688*ÍndiceCorreçãoNC!$C$13</f>
        <v>0</v>
      </c>
      <c r="H764" s="50">
        <f t="shared" si="33"/>
        <v>0</v>
      </c>
      <c r="I764" s="50">
        <f t="shared" si="34"/>
        <v>93648.469469999996</v>
      </c>
      <c r="J764" s="106" t="str">
        <f t="shared" si="35"/>
        <v/>
      </c>
      <c r="K764" s="105"/>
    </row>
    <row r="765" spans="2:11" ht="12.95" customHeight="1" x14ac:dyDescent="0.25">
      <c r="B765" s="45" t="str">
        <f>VLOOKUP(C765,SintéticoNC!$F$4:$G$83,2,FALSE)</f>
        <v>Leur Lomanto</v>
      </c>
      <c r="C765" s="42" t="s">
        <v>215</v>
      </c>
      <c r="D765" s="23" t="s">
        <v>216</v>
      </c>
      <c r="E765" s="43" t="s">
        <v>14</v>
      </c>
      <c r="F765" s="50"/>
      <c r="G765" s="50">
        <f>I689*ÍndiceCorreçãoNC!$C$13</f>
        <v>0</v>
      </c>
      <c r="H765" s="50">
        <f t="shared" si="33"/>
        <v>0</v>
      </c>
      <c r="I765" s="50">
        <f t="shared" si="34"/>
        <v>28195.238120000002</v>
      </c>
      <c r="J765" s="106" t="str">
        <f t="shared" si="35"/>
        <v/>
      </c>
      <c r="K765" s="105"/>
    </row>
    <row r="766" spans="2:11" ht="12.95" customHeight="1" x14ac:dyDescent="0.25">
      <c r="B766" s="45" t="str">
        <f>VLOOKUP(C766,SintéticoNC!$F$4:$G$83,2,FALSE)</f>
        <v>Bancada de Alagoas</v>
      </c>
      <c r="C766" s="42" t="s">
        <v>141</v>
      </c>
      <c r="D766" s="23" t="s">
        <v>153</v>
      </c>
      <c r="E766" s="43" t="s">
        <v>15</v>
      </c>
      <c r="F766" s="50"/>
      <c r="G766" s="50">
        <f>I690*ÍndiceCorreçãoNC!$C$14</f>
        <v>0</v>
      </c>
      <c r="H766" s="50">
        <f t="shared" si="33"/>
        <v>0</v>
      </c>
      <c r="I766" s="50">
        <f t="shared" si="34"/>
        <v>1814033.9908278328</v>
      </c>
      <c r="J766" s="106" t="str">
        <f t="shared" si="35"/>
        <v/>
      </c>
      <c r="K766" s="105"/>
    </row>
    <row r="767" spans="2:11" ht="12.95" customHeight="1" x14ac:dyDescent="0.25">
      <c r="B767" s="45" t="str">
        <f>VLOOKUP(C767,SintéticoNC!$F$4:$G$83,2,FALSE)</f>
        <v>Bancada de Alagoas</v>
      </c>
      <c r="C767" s="42" t="s">
        <v>142</v>
      </c>
      <c r="D767" s="23" t="s">
        <v>153</v>
      </c>
      <c r="E767" s="43" t="s">
        <v>15</v>
      </c>
      <c r="F767" s="50"/>
      <c r="G767" s="50">
        <f>I691*ÍndiceCorreçãoNC!$C$14</f>
        <v>0</v>
      </c>
      <c r="H767" s="50">
        <f t="shared" si="33"/>
        <v>0</v>
      </c>
      <c r="I767" s="50">
        <f t="shared" si="34"/>
        <v>528056.53107599996</v>
      </c>
      <c r="J767" s="106" t="str">
        <f t="shared" si="35"/>
        <v/>
      </c>
      <c r="K767" s="105"/>
    </row>
    <row r="768" spans="2:11" ht="12.95" customHeight="1" x14ac:dyDescent="0.25">
      <c r="B768" s="45" t="str">
        <f>VLOOKUP(C768,SintéticoNC!$F$4:$G$83,2,FALSE)</f>
        <v>Bancada de Alagoas</v>
      </c>
      <c r="C768" s="42" t="s">
        <v>143</v>
      </c>
      <c r="D768" s="23" t="s">
        <v>153</v>
      </c>
      <c r="E768" s="43" t="s">
        <v>15</v>
      </c>
      <c r="F768" s="50"/>
      <c r="G768" s="50">
        <f>I692*ÍndiceCorreçãoNC!$C$14</f>
        <v>0</v>
      </c>
      <c r="H768" s="50">
        <f t="shared" si="33"/>
        <v>0</v>
      </c>
      <c r="I768" s="50">
        <f t="shared" si="34"/>
        <v>5262250.4896554798</v>
      </c>
      <c r="J768" s="106" t="str">
        <f t="shared" si="35"/>
        <v/>
      </c>
      <c r="K768" s="105"/>
    </row>
    <row r="769" spans="2:11" ht="12.95" customHeight="1" x14ac:dyDescent="0.25">
      <c r="B769" s="45" t="str">
        <f>VLOOKUP(C769,SintéticoNC!$F$4:$G$83,2,FALSE)</f>
        <v>Bancada de Minas Gerais</v>
      </c>
      <c r="C769" s="42" t="s">
        <v>144</v>
      </c>
      <c r="D769" s="23" t="s">
        <v>153</v>
      </c>
      <c r="E769" s="43" t="s">
        <v>15</v>
      </c>
      <c r="F769" s="50"/>
      <c r="G769" s="50">
        <f>I693*ÍndiceCorreçãoNC!$C$14</f>
        <v>0</v>
      </c>
      <c r="H769" s="50">
        <f t="shared" si="33"/>
        <v>0</v>
      </c>
      <c r="I769" s="50">
        <f t="shared" si="34"/>
        <v>13370850.949225677</v>
      </c>
      <c r="J769" s="106" t="str">
        <f t="shared" si="35"/>
        <v/>
      </c>
      <c r="K769" s="105"/>
    </row>
    <row r="770" spans="2:11" ht="12.95" customHeight="1" x14ac:dyDescent="0.25">
      <c r="B770" s="45" t="str">
        <f>VLOOKUP(C770,SintéticoNC!$F$4:$G$83,2,FALSE)</f>
        <v>Bancada de São Paulo</v>
      </c>
      <c r="C770" s="42" t="s">
        <v>145</v>
      </c>
      <c r="D770" s="23" t="s">
        <v>153</v>
      </c>
      <c r="E770" s="43" t="s">
        <v>15</v>
      </c>
      <c r="F770" s="50"/>
      <c r="G770" s="50">
        <f>I694*ÍndiceCorreçãoNC!$C$14</f>
        <v>0</v>
      </c>
      <c r="H770" s="50">
        <f t="shared" si="33"/>
        <v>0</v>
      </c>
      <c r="I770" s="50">
        <f t="shared" si="34"/>
        <v>1555533.3010259799</v>
      </c>
      <c r="J770" s="106" t="str">
        <f t="shared" si="35"/>
        <v/>
      </c>
      <c r="K770" s="105"/>
    </row>
    <row r="771" spans="2:11" ht="12.95" customHeight="1" x14ac:dyDescent="0.25">
      <c r="B771" s="45" t="str">
        <f>VLOOKUP(C771,SintéticoNC!$F$4:$G$83,2,FALSE)</f>
        <v>Bancada do Espírito Santo</v>
      </c>
      <c r="C771" s="42" t="s">
        <v>146</v>
      </c>
      <c r="D771" s="23" t="s">
        <v>153</v>
      </c>
      <c r="E771" s="43" t="s">
        <v>15</v>
      </c>
      <c r="F771" s="50"/>
      <c r="G771" s="50">
        <f>I695*ÍndiceCorreçãoNC!$C$14</f>
        <v>0</v>
      </c>
      <c r="H771" s="50">
        <f t="shared" si="33"/>
        <v>0</v>
      </c>
      <c r="I771" s="50">
        <f t="shared" si="34"/>
        <v>1420853.1473770875</v>
      </c>
      <c r="J771" s="106" t="str">
        <f t="shared" si="35"/>
        <v/>
      </c>
      <c r="K771" s="105"/>
    </row>
    <row r="772" spans="2:11" ht="12.95" customHeight="1" x14ac:dyDescent="0.25">
      <c r="B772" s="45" t="str">
        <f>VLOOKUP(C772,SintéticoNC!$F$4:$G$83,2,FALSE)</f>
        <v>Bancada do Espírito Santo</v>
      </c>
      <c r="C772" s="42" t="s">
        <v>147</v>
      </c>
      <c r="D772" s="23" t="s">
        <v>153</v>
      </c>
      <c r="E772" s="43" t="s">
        <v>15</v>
      </c>
      <c r="F772" s="50"/>
      <c r="G772" s="50">
        <f>I696*ÍndiceCorreçãoNC!$C$14</f>
        <v>0</v>
      </c>
      <c r="H772" s="50">
        <f t="shared" si="33"/>
        <v>0</v>
      </c>
      <c r="I772" s="50">
        <f t="shared" si="34"/>
        <v>2260653.9135500002</v>
      </c>
      <c r="J772" s="106" t="str">
        <f t="shared" si="35"/>
        <v/>
      </c>
      <c r="K772" s="105"/>
    </row>
    <row r="773" spans="2:11" ht="12.95" customHeight="1" x14ac:dyDescent="0.25">
      <c r="B773" s="45" t="str">
        <f>VLOOKUP(C773,SintéticoNC!$F$4:$G$83,2,FALSE)</f>
        <v>Bancada do Espírito Santo</v>
      </c>
      <c r="C773" s="42" t="s">
        <v>148</v>
      </c>
      <c r="D773" s="23" t="s">
        <v>153</v>
      </c>
      <c r="E773" s="43" t="s">
        <v>15</v>
      </c>
      <c r="F773" s="50"/>
      <c r="G773" s="50">
        <f>I697*ÍndiceCorreçãoNC!$C$14</f>
        <v>0</v>
      </c>
      <c r="H773" s="50">
        <f t="shared" si="33"/>
        <v>0</v>
      </c>
      <c r="I773" s="50">
        <f t="shared" si="34"/>
        <v>2771189.1180799999</v>
      </c>
      <c r="J773" s="106" t="str">
        <f t="shared" si="35"/>
        <v/>
      </c>
      <c r="K773" s="105"/>
    </row>
    <row r="774" spans="2:11" ht="12.95" customHeight="1" x14ac:dyDescent="0.25">
      <c r="B774" s="45" t="str">
        <f>VLOOKUP(C774,SintéticoNC!$F$4:$G$83,2,FALSE)</f>
        <v>Bancada do Maranhão</v>
      </c>
      <c r="C774" s="42" t="s">
        <v>149</v>
      </c>
      <c r="D774" s="23" t="s">
        <v>153</v>
      </c>
      <c r="E774" s="43" t="s">
        <v>15</v>
      </c>
      <c r="F774" s="50"/>
      <c r="G774" s="50">
        <f>I698*ÍndiceCorreçãoNC!$C$14</f>
        <v>0</v>
      </c>
      <c r="H774" s="50">
        <f t="shared" si="33"/>
        <v>0</v>
      </c>
      <c r="I774" s="50">
        <f t="shared" si="34"/>
        <v>755229.59250000003</v>
      </c>
      <c r="J774" s="106" t="str">
        <f t="shared" si="35"/>
        <v/>
      </c>
      <c r="K774" s="105"/>
    </row>
    <row r="775" spans="2:11" ht="12.95" customHeight="1" x14ac:dyDescent="0.25">
      <c r="B775" s="45" t="str">
        <f>VLOOKUP(C775,SintéticoNC!$F$4:$G$83,2,FALSE)</f>
        <v>Bancada do Pará</v>
      </c>
      <c r="C775" s="42" t="s">
        <v>152</v>
      </c>
      <c r="D775" s="23" t="s">
        <v>153</v>
      </c>
      <c r="E775" s="43" t="s">
        <v>15</v>
      </c>
      <c r="F775" s="50"/>
      <c r="G775" s="50">
        <f>I699*ÍndiceCorreçãoNC!$C$14</f>
        <v>0</v>
      </c>
      <c r="H775" s="50">
        <f t="shared" si="33"/>
        <v>0</v>
      </c>
      <c r="I775" s="50">
        <f t="shared" si="34"/>
        <v>493416.66710000002</v>
      </c>
      <c r="J775" s="106" t="str">
        <f t="shared" si="35"/>
        <v/>
      </c>
      <c r="K775" s="105"/>
    </row>
    <row r="776" spans="2:11" ht="12.95" customHeight="1" x14ac:dyDescent="0.25">
      <c r="B776" s="45" t="str">
        <f>VLOOKUP(C776,SintéticoNC!$F$4:$G$83,2,FALSE)</f>
        <v>Bancada do Pará</v>
      </c>
      <c r="C776" s="42" t="s">
        <v>151</v>
      </c>
      <c r="D776" s="23" t="s">
        <v>153</v>
      </c>
      <c r="E776" s="43" t="s">
        <v>15</v>
      </c>
      <c r="F776" s="50"/>
      <c r="G776" s="50">
        <f>I700*ÍndiceCorreçãoNC!$C$14</f>
        <v>0</v>
      </c>
      <c r="H776" s="50">
        <f t="shared" si="33"/>
        <v>0</v>
      </c>
      <c r="I776" s="50">
        <f t="shared" si="34"/>
        <v>837197.17760599998</v>
      </c>
      <c r="J776" s="106" t="str">
        <f t="shared" si="35"/>
        <v/>
      </c>
      <c r="K776" s="105"/>
    </row>
    <row r="777" spans="2:11" ht="12.95" customHeight="1" x14ac:dyDescent="0.25">
      <c r="B777" s="45" t="str">
        <f>VLOOKUP(C777,SintéticoNC!$F$4:$G$83,2,FALSE)</f>
        <v>Cabo Junio Amaral</v>
      </c>
      <c r="C777" s="42" t="s">
        <v>150</v>
      </c>
      <c r="D777" s="23" t="s">
        <v>153</v>
      </c>
      <c r="E777" s="43" t="s">
        <v>15</v>
      </c>
      <c r="F777" s="50"/>
      <c r="G777" s="50">
        <f>I701*ÍndiceCorreçãoNC!$C$14</f>
        <v>0</v>
      </c>
      <c r="H777" s="50">
        <f t="shared" si="33"/>
        <v>0</v>
      </c>
      <c r="I777" s="50">
        <f t="shared" si="34"/>
        <v>208443.36752999999</v>
      </c>
      <c r="J777" s="106" t="str">
        <f t="shared" si="35"/>
        <v/>
      </c>
      <c r="K777" s="105"/>
    </row>
    <row r="778" spans="2:11" ht="12.95" customHeight="1" x14ac:dyDescent="0.25">
      <c r="B778" s="45" t="str">
        <f>VLOOKUP(C778,SintéticoNC!$F$4:$G$83,2,FALSE)</f>
        <v>Celso Sabino</v>
      </c>
      <c r="C778" s="42" t="s">
        <v>44</v>
      </c>
      <c r="D778" s="23" t="s">
        <v>153</v>
      </c>
      <c r="E778" s="43" t="s">
        <v>15</v>
      </c>
      <c r="F778" s="50"/>
      <c r="G778" s="50">
        <f>I702*ÍndiceCorreçãoNC!$C$14</f>
        <v>0</v>
      </c>
      <c r="H778" s="50">
        <f t="shared" si="33"/>
        <v>0</v>
      </c>
      <c r="I778" s="50">
        <f t="shared" si="34"/>
        <v>97875.449220310911</v>
      </c>
      <c r="J778" s="106" t="str">
        <f t="shared" si="35"/>
        <v/>
      </c>
      <c r="K778" s="105"/>
    </row>
    <row r="779" spans="2:11" ht="12.95" customHeight="1" x14ac:dyDescent="0.25">
      <c r="B779" s="45" t="str">
        <f>VLOOKUP(C779,SintéticoNC!$F$4:$G$83,2,FALSE)</f>
        <v>Coronel Chrisóstomo</v>
      </c>
      <c r="C779" s="42" t="s">
        <v>47</v>
      </c>
      <c r="D779" s="23" t="s">
        <v>153</v>
      </c>
      <c r="E779" s="43" t="s">
        <v>15</v>
      </c>
      <c r="F779" s="50"/>
      <c r="G779" s="50">
        <f>I703*ÍndiceCorreçãoNC!$C$14</f>
        <v>0</v>
      </c>
      <c r="H779" s="50">
        <f t="shared" si="33"/>
        <v>0</v>
      </c>
      <c r="I779" s="50">
        <f t="shared" si="34"/>
        <v>139465.73141499999</v>
      </c>
      <c r="J779" s="106" t="str">
        <f t="shared" si="35"/>
        <v/>
      </c>
      <c r="K779" s="105"/>
    </row>
    <row r="780" spans="2:11" ht="12.95" customHeight="1" x14ac:dyDescent="0.25">
      <c r="B780" s="45" t="str">
        <f>VLOOKUP(C780,SintéticoNC!$F$4:$G$83,2,FALSE)</f>
        <v>Dimas Fabiano</v>
      </c>
      <c r="C780" s="42" t="s">
        <v>50</v>
      </c>
      <c r="D780" s="23" t="s">
        <v>153</v>
      </c>
      <c r="E780" s="43" t="s">
        <v>15</v>
      </c>
      <c r="F780" s="50"/>
      <c r="G780" s="50">
        <f>I704*ÍndiceCorreçãoNC!$C$14</f>
        <v>0</v>
      </c>
      <c r="H780" s="50">
        <f t="shared" si="33"/>
        <v>0</v>
      </c>
      <c r="I780" s="50">
        <f t="shared" si="34"/>
        <v>208443.36752999999</v>
      </c>
      <c r="J780" s="106" t="str">
        <f t="shared" si="35"/>
        <v/>
      </c>
      <c r="K780" s="105"/>
    </row>
    <row r="781" spans="2:11" ht="12.95" customHeight="1" x14ac:dyDescent="0.25">
      <c r="B781" s="45" t="str">
        <f>VLOOKUP(C781,SintéticoNC!$F$4:$G$83,2,FALSE)</f>
        <v>Edna Henrique</v>
      </c>
      <c r="C781" s="42" t="s">
        <v>53</v>
      </c>
      <c r="D781" s="23" t="s">
        <v>153</v>
      </c>
      <c r="E781" s="43" t="s">
        <v>15</v>
      </c>
      <c r="F781" s="50"/>
      <c r="G781" s="50">
        <f>I705*ÍndiceCorreçãoNC!$C$14</f>
        <v>0</v>
      </c>
      <c r="H781" s="50">
        <f t="shared" si="33"/>
        <v>0</v>
      </c>
      <c r="I781" s="50">
        <f t="shared" si="34"/>
        <v>209450.34031999999</v>
      </c>
      <c r="J781" s="106" t="str">
        <f t="shared" si="35"/>
        <v/>
      </c>
      <c r="K781" s="105"/>
    </row>
    <row r="782" spans="2:11" ht="12.95" customHeight="1" x14ac:dyDescent="0.25">
      <c r="B782" s="45" t="str">
        <f>VLOOKUP(C782,SintéticoNC!$F$4:$G$83,2,FALSE)</f>
        <v>Elias Vaz</v>
      </c>
      <c r="C782" s="42" t="s">
        <v>56</v>
      </c>
      <c r="D782" s="23" t="s">
        <v>153</v>
      </c>
      <c r="E782" s="43" t="s">
        <v>15</v>
      </c>
      <c r="F782" s="50"/>
      <c r="G782" s="50">
        <f>I706*ÍndiceCorreçãoNC!$C$14</f>
        <v>0</v>
      </c>
      <c r="H782" s="50">
        <f t="shared" si="33"/>
        <v>0</v>
      </c>
      <c r="I782" s="50">
        <f t="shared" si="34"/>
        <v>402789.11599999998</v>
      </c>
      <c r="J782" s="106" t="str">
        <f t="shared" si="35"/>
        <v/>
      </c>
      <c r="K782" s="105"/>
    </row>
    <row r="783" spans="2:11" ht="12.95" customHeight="1" x14ac:dyDescent="0.25">
      <c r="B783" s="45" t="str">
        <f>VLOOKUP(C783,SintéticoNC!$F$4:$G$83,2,FALSE)</f>
        <v>Expedito Netto</v>
      </c>
      <c r="C783" s="42" t="s">
        <v>59</v>
      </c>
      <c r="D783" s="23" t="s">
        <v>153</v>
      </c>
      <c r="E783" s="43" t="s">
        <v>15</v>
      </c>
      <c r="F783" s="50"/>
      <c r="G783" s="50">
        <f>I707*ÍndiceCorreçãoNC!$C$14</f>
        <v>0</v>
      </c>
      <c r="H783" s="50">
        <f t="shared" si="33"/>
        <v>0</v>
      </c>
      <c r="I783" s="50">
        <f t="shared" si="34"/>
        <v>283300.95943927957</v>
      </c>
      <c r="J783" s="106" t="str">
        <f t="shared" si="35"/>
        <v/>
      </c>
      <c r="K783" s="105"/>
    </row>
    <row r="784" spans="2:11" ht="12.95" customHeight="1" x14ac:dyDescent="0.25">
      <c r="B784" s="45" t="str">
        <f>VLOOKUP(C784,SintéticoNC!$F$4:$G$83,2,FALSE)</f>
        <v>Fabio Reis</v>
      </c>
      <c r="C784" s="42" t="s">
        <v>62</v>
      </c>
      <c r="D784" s="23" t="s">
        <v>153</v>
      </c>
      <c r="E784" s="43" t="s">
        <v>15</v>
      </c>
      <c r="F784" s="50"/>
      <c r="G784" s="50">
        <f>I708*ÍndiceCorreçãoNC!$C$14</f>
        <v>0</v>
      </c>
      <c r="H784" s="50">
        <f t="shared" si="33"/>
        <v>0</v>
      </c>
      <c r="I784" s="50">
        <f t="shared" si="34"/>
        <v>82156.865781336295</v>
      </c>
      <c r="J784" s="106" t="str">
        <f t="shared" si="35"/>
        <v/>
      </c>
      <c r="K784" s="105"/>
    </row>
    <row r="785" spans="2:11" ht="12.95" customHeight="1" x14ac:dyDescent="0.25">
      <c r="B785" s="45" t="str">
        <f>VLOOKUP(C785,SintéticoNC!$F$4:$G$83,2,FALSE)</f>
        <v>Flavia Arruda</v>
      </c>
      <c r="C785" s="42" t="s">
        <v>65</v>
      </c>
      <c r="D785" s="23" t="s">
        <v>153</v>
      </c>
      <c r="E785" s="43" t="s">
        <v>15</v>
      </c>
      <c r="F785" s="50"/>
      <c r="G785" s="50">
        <f>I709*ÍndiceCorreçãoNC!$C$14</f>
        <v>0</v>
      </c>
      <c r="H785" s="50">
        <f t="shared" si="33"/>
        <v>0</v>
      </c>
      <c r="I785" s="50">
        <f t="shared" si="34"/>
        <v>887563.63045465504</v>
      </c>
      <c r="J785" s="106" t="str">
        <f t="shared" si="35"/>
        <v/>
      </c>
      <c r="K785" s="105"/>
    </row>
    <row r="786" spans="2:11" ht="12.95" customHeight="1" x14ac:dyDescent="0.25">
      <c r="B786" s="45" t="str">
        <f>VLOOKUP(C786,SintéticoNC!$F$4:$G$83,2,FALSE)</f>
        <v>Flaviano Melo</v>
      </c>
      <c r="C786" s="42" t="s">
        <v>68</v>
      </c>
      <c r="D786" s="23" t="s">
        <v>153</v>
      </c>
      <c r="E786" s="43" t="s">
        <v>15</v>
      </c>
      <c r="F786" s="50"/>
      <c r="G786" s="50">
        <f>I710*ÍndiceCorreçãoNC!$C$14</f>
        <v>0</v>
      </c>
      <c r="H786" s="50">
        <f t="shared" ref="H786:H849" si="36">IF(I710+G786&gt;F786,F786,I710+G786)</f>
        <v>0</v>
      </c>
      <c r="I786" s="50">
        <f t="shared" ref="I786:I849" si="37">IF(F786&gt;I710+G786,"",I710+G786-F786)</f>
        <v>506301.91106029582</v>
      </c>
      <c r="J786" s="106" t="str">
        <f t="shared" ref="J786:J849" si="38">IF(I786="",F786-(I710+G786),"")</f>
        <v/>
      </c>
      <c r="K786" s="105"/>
    </row>
    <row r="787" spans="2:11" ht="12.95" customHeight="1" x14ac:dyDescent="0.25">
      <c r="B787" s="45" t="str">
        <f>VLOOKUP(C787,SintéticoNC!$F$4:$G$83,2,FALSE)</f>
        <v>General Girão</v>
      </c>
      <c r="C787" s="42" t="s">
        <v>71</v>
      </c>
      <c r="D787" s="23" t="s">
        <v>153</v>
      </c>
      <c r="E787" s="43" t="s">
        <v>15</v>
      </c>
      <c r="F787" s="50"/>
      <c r="G787" s="50">
        <f>I711*ÍndiceCorreçãoNC!$C$14</f>
        <v>0</v>
      </c>
      <c r="H787" s="50">
        <f t="shared" si="36"/>
        <v>0</v>
      </c>
      <c r="I787" s="50">
        <f t="shared" si="37"/>
        <v>208443.36752999999</v>
      </c>
      <c r="J787" s="106" t="str">
        <f t="shared" si="38"/>
        <v/>
      </c>
      <c r="K787" s="105"/>
    </row>
    <row r="788" spans="2:11" ht="12.95" customHeight="1" x14ac:dyDescent="0.25">
      <c r="B788" s="45" t="str">
        <f>VLOOKUP(C788,SintéticoNC!$F$4:$G$83,2,FALSE)</f>
        <v>João Roma</v>
      </c>
      <c r="C788" s="42" t="s">
        <v>74</v>
      </c>
      <c r="D788" s="23" t="s">
        <v>153</v>
      </c>
      <c r="E788" s="43" t="s">
        <v>15</v>
      </c>
      <c r="F788" s="50"/>
      <c r="G788" s="50">
        <f>I712*ÍndiceCorreçãoNC!$C$14</f>
        <v>0</v>
      </c>
      <c r="H788" s="50">
        <f t="shared" si="36"/>
        <v>0</v>
      </c>
      <c r="I788" s="50">
        <f t="shared" si="37"/>
        <v>72671.020983889903</v>
      </c>
      <c r="J788" s="106" t="str">
        <f t="shared" si="38"/>
        <v/>
      </c>
      <c r="K788" s="105"/>
    </row>
    <row r="789" spans="2:11" ht="12.95" customHeight="1" x14ac:dyDescent="0.25">
      <c r="B789" s="45" t="str">
        <f>VLOOKUP(C789,SintéticoNC!$F$4:$G$83,2,FALSE)</f>
        <v>Joenia Wapichana</v>
      </c>
      <c r="C789" s="42" t="s">
        <v>77</v>
      </c>
      <c r="D789" s="23" t="s">
        <v>153</v>
      </c>
      <c r="E789" s="43" t="s">
        <v>15</v>
      </c>
      <c r="F789" s="50"/>
      <c r="G789" s="50">
        <f>I713*ÍndiceCorreçãoNC!$C$14</f>
        <v>0</v>
      </c>
      <c r="H789" s="50">
        <f t="shared" si="36"/>
        <v>0</v>
      </c>
      <c r="I789" s="50">
        <f t="shared" si="37"/>
        <v>9161.8613719917994</v>
      </c>
      <c r="J789" s="106" t="str">
        <f t="shared" si="38"/>
        <v/>
      </c>
      <c r="K789" s="105"/>
    </row>
    <row r="790" spans="2:11" ht="12.95" customHeight="1" x14ac:dyDescent="0.25">
      <c r="B790" s="45" t="str">
        <f>VLOOKUP(C790,SintéticoNC!$F$4:$G$83,2,FALSE)</f>
        <v>José Nunes</v>
      </c>
      <c r="C790" s="42" t="s">
        <v>80</v>
      </c>
      <c r="D790" s="23" t="s">
        <v>153</v>
      </c>
      <c r="E790" s="43" t="s">
        <v>15</v>
      </c>
      <c r="F790" s="50"/>
      <c r="G790" s="50">
        <f>I714*ÍndiceCorreçãoNC!$C$14</f>
        <v>0</v>
      </c>
      <c r="H790" s="50">
        <f t="shared" si="36"/>
        <v>0</v>
      </c>
      <c r="I790" s="50">
        <f t="shared" si="37"/>
        <v>208443.36752999999</v>
      </c>
      <c r="J790" s="106" t="str">
        <f t="shared" si="38"/>
        <v/>
      </c>
      <c r="K790" s="105"/>
    </row>
    <row r="791" spans="2:11" ht="12.95" customHeight="1" x14ac:dyDescent="0.25">
      <c r="B791" s="45" t="str">
        <f>VLOOKUP(C791,SintéticoNC!$F$4:$G$83,2,FALSE)</f>
        <v>Josivaldo JP</v>
      </c>
      <c r="C791" s="42" t="s">
        <v>83</v>
      </c>
      <c r="D791" s="23" t="s">
        <v>153</v>
      </c>
      <c r="E791" s="43" t="s">
        <v>15</v>
      </c>
      <c r="F791" s="50"/>
      <c r="G791" s="50">
        <f>I715*ÍndiceCorreçãoNC!$C$14</f>
        <v>0</v>
      </c>
      <c r="H791" s="50">
        <f t="shared" si="36"/>
        <v>0</v>
      </c>
      <c r="I791" s="50">
        <f t="shared" si="37"/>
        <v>102711.22457999999</v>
      </c>
      <c r="J791" s="106" t="str">
        <f t="shared" si="38"/>
        <v/>
      </c>
      <c r="K791" s="105"/>
    </row>
    <row r="792" spans="2:11" ht="12.95" customHeight="1" x14ac:dyDescent="0.25">
      <c r="B792" s="45" t="str">
        <f>VLOOKUP(C792,SintéticoNC!$F$4:$G$83,2,FALSE)</f>
        <v>Junior Lourenço</v>
      </c>
      <c r="C792" s="42" t="s">
        <v>86</v>
      </c>
      <c r="D792" s="23" t="s">
        <v>153</v>
      </c>
      <c r="E792" s="43" t="s">
        <v>15</v>
      </c>
      <c r="F792" s="50"/>
      <c r="G792" s="50">
        <f>I716*ÍndiceCorreçãoNC!$C$14</f>
        <v>0</v>
      </c>
      <c r="H792" s="50">
        <f t="shared" si="36"/>
        <v>0</v>
      </c>
      <c r="I792" s="50">
        <f t="shared" si="37"/>
        <v>347405.61255000002</v>
      </c>
      <c r="J792" s="106" t="str">
        <f t="shared" si="38"/>
        <v/>
      </c>
      <c r="K792" s="105"/>
    </row>
    <row r="793" spans="2:11" ht="12.95" customHeight="1" x14ac:dyDescent="0.25">
      <c r="B793" s="45" t="str">
        <f>VLOOKUP(C793,SintéticoNC!$F$4:$G$83,2,FALSE)</f>
        <v>Leo de Brito</v>
      </c>
      <c r="C793" s="42" t="s">
        <v>89</v>
      </c>
      <c r="D793" s="23" t="s">
        <v>153</v>
      </c>
      <c r="E793" s="43" t="s">
        <v>15</v>
      </c>
      <c r="F793" s="50"/>
      <c r="G793" s="50">
        <f>I717*ÍndiceCorreçãoNC!$C$14</f>
        <v>0</v>
      </c>
      <c r="H793" s="50">
        <f t="shared" si="36"/>
        <v>0</v>
      </c>
      <c r="I793" s="50">
        <f t="shared" si="37"/>
        <v>432998.29969999997</v>
      </c>
      <c r="J793" s="106" t="str">
        <f t="shared" si="38"/>
        <v/>
      </c>
      <c r="K793" s="105"/>
    </row>
    <row r="794" spans="2:11" ht="12.95" customHeight="1" x14ac:dyDescent="0.25">
      <c r="B794" s="45" t="str">
        <f>VLOOKUP(C794,SintéticoNC!$F$4:$G$83,2,FALSE)</f>
        <v>Leur Lomanto</v>
      </c>
      <c r="C794" s="42" t="s">
        <v>92</v>
      </c>
      <c r="D794" s="23" t="s">
        <v>153</v>
      </c>
      <c r="E794" s="43" t="s">
        <v>15</v>
      </c>
      <c r="F794" s="50"/>
      <c r="G794" s="50">
        <f>I718*ÍndiceCorreçãoNC!$C$14</f>
        <v>0</v>
      </c>
      <c r="H794" s="50">
        <f t="shared" si="36"/>
        <v>0</v>
      </c>
      <c r="I794" s="50">
        <f t="shared" si="37"/>
        <v>66563.217456416998</v>
      </c>
      <c r="J794" s="106" t="str">
        <f t="shared" si="38"/>
        <v/>
      </c>
      <c r="K794" s="105"/>
    </row>
    <row r="795" spans="2:11" ht="12.95" customHeight="1" x14ac:dyDescent="0.25">
      <c r="B795" s="45" t="str">
        <f>VLOOKUP(C795,SintéticoNC!$F$4:$G$83,2,FALSE)</f>
        <v>Luciano Bivar</v>
      </c>
      <c r="C795" s="42" t="s">
        <v>95</v>
      </c>
      <c r="D795" s="23" t="s">
        <v>153</v>
      </c>
      <c r="E795" s="43" t="s">
        <v>15</v>
      </c>
      <c r="F795" s="50"/>
      <c r="G795" s="50">
        <f>I719*ÍndiceCorreçãoNC!$C$14</f>
        <v>0</v>
      </c>
      <c r="H795" s="50">
        <f t="shared" si="36"/>
        <v>0</v>
      </c>
      <c r="I795" s="50">
        <f t="shared" si="37"/>
        <v>2492.2979341616001</v>
      </c>
      <c r="J795" s="106" t="str">
        <f t="shared" si="38"/>
        <v/>
      </c>
      <c r="K795" s="105"/>
    </row>
    <row r="796" spans="2:11" ht="12.95" customHeight="1" x14ac:dyDescent="0.25">
      <c r="B796" s="45" t="str">
        <f>VLOOKUP(C796,SintéticoNC!$F$4:$G$83,2,FALSE)</f>
        <v>Luis Tibé</v>
      </c>
      <c r="C796" s="42" t="s">
        <v>98</v>
      </c>
      <c r="D796" s="23" t="s">
        <v>153</v>
      </c>
      <c r="E796" s="43" t="s">
        <v>15</v>
      </c>
      <c r="F796" s="50"/>
      <c r="G796" s="50">
        <f>I720*ÍndiceCorreçãoNC!$C$14</f>
        <v>0</v>
      </c>
      <c r="H796" s="50">
        <f t="shared" si="36"/>
        <v>0</v>
      </c>
      <c r="I796" s="50">
        <f t="shared" si="37"/>
        <v>208443.36752999999</v>
      </c>
      <c r="J796" s="106" t="str">
        <f t="shared" si="38"/>
        <v/>
      </c>
      <c r="K796" s="105"/>
    </row>
    <row r="797" spans="2:11" ht="12.95" customHeight="1" x14ac:dyDescent="0.25">
      <c r="B797" s="45" t="str">
        <f>VLOOKUP(C797,SintéticoNC!$F$4:$G$83,2,FALSE)</f>
        <v>Mara Rocha</v>
      </c>
      <c r="C797" s="42" t="s">
        <v>101</v>
      </c>
      <c r="D797" s="23" t="s">
        <v>153</v>
      </c>
      <c r="E797" s="43" t="s">
        <v>15</v>
      </c>
      <c r="F797" s="50"/>
      <c r="G797" s="50">
        <f>I721*ÍndiceCorreçãoNC!$C$14</f>
        <v>0</v>
      </c>
      <c r="H797" s="50">
        <f t="shared" si="36"/>
        <v>0</v>
      </c>
      <c r="I797" s="50">
        <f t="shared" si="37"/>
        <v>411222.61381352897</v>
      </c>
      <c r="J797" s="106" t="str">
        <f t="shared" si="38"/>
        <v/>
      </c>
      <c r="K797" s="105"/>
    </row>
    <row r="798" spans="2:11" ht="12.95" customHeight="1" x14ac:dyDescent="0.25">
      <c r="B798" s="45" t="str">
        <f>VLOOKUP(C798,SintéticoNC!$F$4:$G$83,2,FALSE)</f>
        <v>Marx Beltrão</v>
      </c>
      <c r="C798" s="42" t="s">
        <v>104</v>
      </c>
      <c r="D798" s="23" t="s">
        <v>153</v>
      </c>
      <c r="E798" s="43" t="s">
        <v>15</v>
      </c>
      <c r="F798" s="50"/>
      <c r="G798" s="50">
        <f>I722*ÍndiceCorreçãoNC!$C$14</f>
        <v>0</v>
      </c>
      <c r="H798" s="50">
        <f t="shared" si="36"/>
        <v>0</v>
      </c>
      <c r="I798" s="50">
        <f t="shared" si="37"/>
        <v>208443.36752999999</v>
      </c>
      <c r="J798" s="106" t="str">
        <f t="shared" si="38"/>
        <v/>
      </c>
      <c r="K798" s="105"/>
    </row>
    <row r="799" spans="2:11" ht="12.95" customHeight="1" x14ac:dyDescent="0.25">
      <c r="B799" s="45" t="str">
        <f>VLOOKUP(C799,SintéticoNC!$F$4:$G$83,2,FALSE)</f>
        <v>Ministério das Comunicações</v>
      </c>
      <c r="C799" s="42" t="s">
        <v>107</v>
      </c>
      <c r="D799" s="23" t="s">
        <v>153</v>
      </c>
      <c r="E799" s="43" t="s">
        <v>15</v>
      </c>
      <c r="F799" s="50"/>
      <c r="G799" s="50">
        <f>I723*ÍndiceCorreçãoNC!$C$14</f>
        <v>0</v>
      </c>
      <c r="H799" s="50">
        <f t="shared" si="36"/>
        <v>0</v>
      </c>
      <c r="I799" s="50">
        <f t="shared" si="37"/>
        <v>15499755.251688881</v>
      </c>
      <c r="J799" s="106" t="str">
        <f t="shared" si="38"/>
        <v/>
      </c>
      <c r="K799" s="105"/>
    </row>
    <row r="800" spans="2:11" ht="12.95" customHeight="1" x14ac:dyDescent="0.25">
      <c r="B800" s="45" t="str">
        <f>VLOOKUP(C800,SintéticoNC!$F$4:$G$83,2,FALSE)</f>
        <v>Ministério das Comunicações</v>
      </c>
      <c r="C800" s="42" t="s">
        <v>109</v>
      </c>
      <c r="D800" s="23" t="s">
        <v>153</v>
      </c>
      <c r="E800" s="43" t="s">
        <v>15</v>
      </c>
      <c r="F800" s="50"/>
      <c r="G800" s="50">
        <f>I724*ÍndiceCorreçãoNC!$C$14</f>
        <v>0</v>
      </c>
      <c r="H800" s="50">
        <f t="shared" si="36"/>
        <v>0</v>
      </c>
      <c r="I800" s="50">
        <f t="shared" si="37"/>
        <v>3713715.64952</v>
      </c>
      <c r="J800" s="106" t="str">
        <f t="shared" si="38"/>
        <v/>
      </c>
      <c r="K800" s="105"/>
    </row>
    <row r="801" spans="2:11" ht="12.95" customHeight="1" x14ac:dyDescent="0.25">
      <c r="B801" s="45" t="str">
        <f>VLOOKUP(C801,SintéticoNC!$F$4:$G$83,2,FALSE)</f>
        <v>Ministério das Comunicações</v>
      </c>
      <c r="C801" s="42" t="s">
        <v>111</v>
      </c>
      <c r="D801" s="23" t="s">
        <v>153</v>
      </c>
      <c r="E801" s="43" t="s">
        <v>15</v>
      </c>
      <c r="F801" s="50"/>
      <c r="G801" s="50">
        <f>I725*ÍndiceCorreçãoNC!$C$14</f>
        <v>0</v>
      </c>
      <c r="H801" s="50">
        <f t="shared" si="36"/>
        <v>0</v>
      </c>
      <c r="I801" s="50">
        <f t="shared" si="37"/>
        <v>10069727.9</v>
      </c>
      <c r="J801" s="106" t="str">
        <f t="shared" si="38"/>
        <v/>
      </c>
      <c r="K801" s="105"/>
    </row>
    <row r="802" spans="2:11" ht="12.95" customHeight="1" x14ac:dyDescent="0.25">
      <c r="B802" s="45" t="str">
        <f>VLOOKUP(C802,SintéticoNC!$F$4:$G$83,2,FALSE)</f>
        <v>Ministério da Educação</v>
      </c>
      <c r="C802" s="42" t="s">
        <v>114</v>
      </c>
      <c r="D802" s="23" t="s">
        <v>153</v>
      </c>
      <c r="E802" s="43" t="s">
        <v>15</v>
      </c>
      <c r="F802" s="50"/>
      <c r="G802" s="50">
        <f>I726*ÍndiceCorreçãoNC!$C$14</f>
        <v>0</v>
      </c>
      <c r="H802" s="50">
        <f t="shared" si="36"/>
        <v>0</v>
      </c>
      <c r="I802" s="50">
        <f t="shared" si="37"/>
        <v>16980781.538382418</v>
      </c>
      <c r="J802" s="106" t="str">
        <f t="shared" si="38"/>
        <v/>
      </c>
      <c r="K802" s="105"/>
    </row>
    <row r="803" spans="2:11" ht="12.95" customHeight="1" x14ac:dyDescent="0.25">
      <c r="B803" s="45" t="str">
        <f>VLOOKUP(C803,SintéticoNC!$F$4:$G$83,2,FALSE)</f>
        <v>Ministério da Educação</v>
      </c>
      <c r="C803" s="42" t="s">
        <v>116</v>
      </c>
      <c r="D803" s="23" t="s">
        <v>153</v>
      </c>
      <c r="E803" s="43" t="s">
        <v>15</v>
      </c>
      <c r="F803" s="50"/>
      <c r="G803" s="50">
        <f>I727*ÍndiceCorreçãoNC!$C$14</f>
        <v>0</v>
      </c>
      <c r="H803" s="50">
        <f t="shared" si="36"/>
        <v>0</v>
      </c>
      <c r="I803" s="50">
        <f t="shared" si="37"/>
        <v>3706666.8399899998</v>
      </c>
      <c r="J803" s="106" t="str">
        <f t="shared" si="38"/>
        <v/>
      </c>
      <c r="K803" s="105"/>
    </row>
    <row r="804" spans="2:11" ht="12.95" customHeight="1" x14ac:dyDescent="0.25">
      <c r="B804" s="45" t="str">
        <f>VLOOKUP(C804,SintéticoNC!$F$4:$G$83,2,FALSE)</f>
        <v>Ministério da Justiça</v>
      </c>
      <c r="C804" s="42" t="s">
        <v>119</v>
      </c>
      <c r="D804" s="23" t="s">
        <v>153</v>
      </c>
      <c r="E804" s="43" t="s">
        <v>15</v>
      </c>
      <c r="F804" s="50"/>
      <c r="G804" s="50">
        <f>I728*ÍndiceCorreçãoNC!$C$14</f>
        <v>0</v>
      </c>
      <c r="H804" s="50">
        <f t="shared" si="36"/>
        <v>0</v>
      </c>
      <c r="I804" s="50">
        <f t="shared" si="37"/>
        <v>630294.98193109501</v>
      </c>
      <c r="J804" s="106" t="str">
        <f t="shared" si="38"/>
        <v/>
      </c>
      <c r="K804" s="105"/>
    </row>
    <row r="805" spans="2:11" ht="12.95" customHeight="1" x14ac:dyDescent="0.25">
      <c r="B805" s="45" t="str">
        <f>VLOOKUP(C805,SintéticoNC!$F$4:$G$83,2,FALSE)</f>
        <v>Ministério do Meio Ambiente</v>
      </c>
      <c r="C805" s="42" t="s">
        <v>122</v>
      </c>
      <c r="D805" s="23" t="s">
        <v>153</v>
      </c>
      <c r="E805" s="43" t="s">
        <v>15</v>
      </c>
      <c r="F805" s="50"/>
      <c r="G805" s="50">
        <f>I729*ÍndiceCorreçãoNC!$C$14</f>
        <v>0</v>
      </c>
      <c r="H805" s="50">
        <f t="shared" si="36"/>
        <v>0</v>
      </c>
      <c r="I805" s="50">
        <f t="shared" si="37"/>
        <v>108551.66676199999</v>
      </c>
      <c r="J805" s="106" t="str">
        <f t="shared" si="38"/>
        <v/>
      </c>
      <c r="K805" s="105"/>
    </row>
    <row r="806" spans="2:11" ht="12.95" customHeight="1" x14ac:dyDescent="0.25">
      <c r="B806" s="45" t="str">
        <f>VLOOKUP(C806,SintéticoNC!$F$4:$G$83,2,FALSE)</f>
        <v>Perpétua Almeida</v>
      </c>
      <c r="C806" s="42" t="s">
        <v>125</v>
      </c>
      <c r="D806" s="23" t="s">
        <v>153</v>
      </c>
      <c r="E806" s="43" t="s">
        <v>15</v>
      </c>
      <c r="F806" s="50"/>
      <c r="G806" s="50">
        <f>I730*ÍndiceCorreçãoNC!$C$14</f>
        <v>0</v>
      </c>
      <c r="H806" s="50">
        <f t="shared" si="36"/>
        <v>0</v>
      </c>
      <c r="I806" s="50">
        <f t="shared" si="37"/>
        <v>416886.73505999998</v>
      </c>
      <c r="J806" s="106" t="str">
        <f t="shared" si="38"/>
        <v/>
      </c>
      <c r="K806" s="105"/>
    </row>
    <row r="807" spans="2:11" ht="12.95" customHeight="1" x14ac:dyDescent="0.25">
      <c r="B807" s="45" t="str">
        <f>VLOOKUP(C807,SintéticoNC!$F$4:$G$83,2,FALSE)</f>
        <v>PRF RO</v>
      </c>
      <c r="C807" s="42" t="s">
        <v>128</v>
      </c>
      <c r="D807" s="23" t="s">
        <v>153</v>
      </c>
      <c r="E807" s="43" t="s">
        <v>15</v>
      </c>
      <c r="F807" s="50"/>
      <c r="G807" s="50">
        <f>I731*ÍndiceCorreçãoNC!$C$14</f>
        <v>0</v>
      </c>
      <c r="H807" s="50">
        <f t="shared" si="36"/>
        <v>0</v>
      </c>
      <c r="I807" s="50">
        <f t="shared" si="37"/>
        <v>46723.537455999998</v>
      </c>
      <c r="J807" s="106" t="str">
        <f t="shared" si="38"/>
        <v/>
      </c>
      <c r="K807" s="105"/>
    </row>
    <row r="808" spans="2:11" ht="12.95" customHeight="1" x14ac:dyDescent="0.25">
      <c r="B808" s="45" t="str">
        <f>VLOOKUP(C808,SintéticoNC!$F$4:$G$83,2,FALSE)</f>
        <v>Senador Confúcio Moura</v>
      </c>
      <c r="C808" s="42" t="s">
        <v>131</v>
      </c>
      <c r="D808" s="23" t="s">
        <v>153</v>
      </c>
      <c r="E808" s="43" t="s">
        <v>15</v>
      </c>
      <c r="F808" s="50"/>
      <c r="G808" s="50">
        <f>I732*ÍndiceCorreçãoNC!$C$14</f>
        <v>0</v>
      </c>
      <c r="H808" s="50">
        <f t="shared" si="36"/>
        <v>0</v>
      </c>
      <c r="I808" s="50">
        <f t="shared" si="37"/>
        <v>345423.16507887124</v>
      </c>
      <c r="J808" s="106" t="str">
        <f t="shared" si="38"/>
        <v/>
      </c>
      <c r="K808" s="105"/>
    </row>
    <row r="809" spans="2:11" ht="12.95" customHeight="1" x14ac:dyDescent="0.25">
      <c r="B809" s="45" t="str">
        <f>VLOOKUP(C809,SintéticoNC!$F$4:$G$83,2,FALSE)</f>
        <v>Sérgio Petecão</v>
      </c>
      <c r="C809" s="42" t="s">
        <v>134</v>
      </c>
      <c r="D809" s="23" t="s">
        <v>153</v>
      </c>
      <c r="E809" s="43" t="s">
        <v>15</v>
      </c>
      <c r="F809" s="50"/>
      <c r="G809" s="50">
        <f>I733*ÍndiceCorreçãoNC!$C$14</f>
        <v>0</v>
      </c>
      <c r="H809" s="50">
        <f t="shared" si="36"/>
        <v>0</v>
      </c>
      <c r="I809" s="50">
        <f t="shared" si="37"/>
        <v>286973.14753094001</v>
      </c>
      <c r="J809" s="106" t="str">
        <f t="shared" si="38"/>
        <v/>
      </c>
      <c r="K809" s="105"/>
    </row>
    <row r="810" spans="2:11" ht="12.95" customHeight="1" x14ac:dyDescent="0.25">
      <c r="B810" s="45" t="str">
        <f>VLOOKUP(C810,SintéticoNC!$F$4:$G$83,2,FALSE)</f>
        <v>Soraya Thronicke</v>
      </c>
      <c r="C810" s="42" t="s">
        <v>137</v>
      </c>
      <c r="D810" s="23" t="s">
        <v>153</v>
      </c>
      <c r="E810" s="43" t="s">
        <v>15</v>
      </c>
      <c r="F810" s="50"/>
      <c r="G810" s="50">
        <f>I734*ÍndiceCorreçãoNC!$C$14</f>
        <v>0</v>
      </c>
      <c r="H810" s="50">
        <f t="shared" si="36"/>
        <v>0</v>
      </c>
      <c r="I810" s="50">
        <f t="shared" si="37"/>
        <v>347405.61255000002</v>
      </c>
      <c r="J810" s="106" t="str">
        <f t="shared" si="38"/>
        <v/>
      </c>
      <c r="K810" s="105"/>
    </row>
    <row r="811" spans="2:11" ht="12.95" customHeight="1" x14ac:dyDescent="0.25">
      <c r="B811" s="45" t="str">
        <f>VLOOKUP(C811,SintéticoNC!$F$4:$G$83,2,FALSE)</f>
        <v>Uldurico Junior</v>
      </c>
      <c r="C811" s="42" t="s">
        <v>140</v>
      </c>
      <c r="D811" s="23" t="s">
        <v>153</v>
      </c>
      <c r="E811" s="43" t="s">
        <v>15</v>
      </c>
      <c r="F811" s="50"/>
      <c r="G811" s="50">
        <f>I735*ÍndiceCorreçãoNC!$C$14</f>
        <v>0</v>
      </c>
      <c r="H811" s="50">
        <f t="shared" si="36"/>
        <v>0</v>
      </c>
      <c r="I811" s="50">
        <f t="shared" si="37"/>
        <v>311154.59211000003</v>
      </c>
      <c r="J811" s="106" t="str">
        <f t="shared" si="38"/>
        <v/>
      </c>
      <c r="K811" s="105"/>
    </row>
    <row r="812" spans="2:11" ht="12.95" customHeight="1" x14ac:dyDescent="0.25">
      <c r="B812" s="45" t="str">
        <f>VLOOKUP(C812,SintéticoNC!$F$4:$G$83,2,FALSE)</f>
        <v>Bancada de Alagoas</v>
      </c>
      <c r="C812" s="42" t="s">
        <v>156</v>
      </c>
      <c r="D812" s="23" t="s">
        <v>216</v>
      </c>
      <c r="E812" s="43" t="s">
        <v>15</v>
      </c>
      <c r="F812" s="50"/>
      <c r="G812" s="50">
        <f>I736*ÍndiceCorreçãoNC!$C$14</f>
        <v>0</v>
      </c>
      <c r="H812" s="50">
        <f t="shared" si="36"/>
        <v>0</v>
      </c>
      <c r="I812" s="50">
        <f t="shared" si="37"/>
        <v>612239.45632</v>
      </c>
      <c r="J812" s="106" t="str">
        <f t="shared" si="38"/>
        <v/>
      </c>
      <c r="K812" s="105"/>
    </row>
    <row r="813" spans="2:11" ht="12.95" customHeight="1" x14ac:dyDescent="0.25">
      <c r="B813" s="45" t="str">
        <f>VLOOKUP(C813,SintéticoNC!$F$4:$G$83,2,FALSE)</f>
        <v>Bancada de Alagoas</v>
      </c>
      <c r="C813" s="42" t="s">
        <v>158</v>
      </c>
      <c r="D813" s="23" t="s">
        <v>216</v>
      </c>
      <c r="E813" s="43" t="s">
        <v>15</v>
      </c>
      <c r="F813" s="50"/>
      <c r="G813" s="50">
        <f>I737*ÍndiceCorreçãoNC!$C$14</f>
        <v>0</v>
      </c>
      <c r="H813" s="50">
        <f t="shared" si="36"/>
        <v>0</v>
      </c>
      <c r="I813" s="50">
        <f t="shared" si="37"/>
        <v>176220.23824999999</v>
      </c>
      <c r="J813" s="106" t="str">
        <f t="shared" si="38"/>
        <v/>
      </c>
      <c r="K813" s="105"/>
    </row>
    <row r="814" spans="2:11" ht="12.95" customHeight="1" x14ac:dyDescent="0.25">
      <c r="B814" s="45" t="str">
        <f>VLOOKUP(C814,SintéticoNC!$F$4:$G$83,2,FALSE)</f>
        <v>Bancada de Alagoas</v>
      </c>
      <c r="C814" s="42" t="s">
        <v>160</v>
      </c>
      <c r="D814" s="23" t="s">
        <v>216</v>
      </c>
      <c r="E814" s="43" t="s">
        <v>15</v>
      </c>
      <c r="F814" s="50"/>
      <c r="G814" s="50">
        <f>I738*ÍndiceCorreçãoNC!$C$14</f>
        <v>0</v>
      </c>
      <c r="H814" s="50">
        <f t="shared" si="36"/>
        <v>0</v>
      </c>
      <c r="I814" s="50">
        <f t="shared" si="37"/>
        <v>755229.59250000003</v>
      </c>
      <c r="J814" s="106" t="str">
        <f t="shared" si="38"/>
        <v/>
      </c>
      <c r="K814" s="105"/>
    </row>
    <row r="815" spans="2:11" ht="12.95" customHeight="1" x14ac:dyDescent="0.25">
      <c r="B815" s="45" t="str">
        <f>VLOOKUP(C815,SintéticoNC!$F$4:$G$83,2,FALSE)</f>
        <v>Bancada de Minas Gerais</v>
      </c>
      <c r="C815" s="42" t="s">
        <v>162</v>
      </c>
      <c r="D815" s="23" t="s">
        <v>216</v>
      </c>
      <c r="E815" s="43" t="s">
        <v>15</v>
      </c>
      <c r="F815" s="50"/>
      <c r="G815" s="50">
        <f>I739*ÍndiceCorreçãoNC!$C$14</f>
        <v>0</v>
      </c>
      <c r="H815" s="50">
        <f t="shared" si="36"/>
        <v>0</v>
      </c>
      <c r="I815" s="50">
        <f t="shared" si="37"/>
        <v>5236258.5080000004</v>
      </c>
      <c r="J815" s="106" t="str">
        <f t="shared" si="38"/>
        <v/>
      </c>
      <c r="K815" s="105"/>
    </row>
    <row r="816" spans="2:11" ht="12.95" customHeight="1" x14ac:dyDescent="0.25">
      <c r="B816" s="45" t="str">
        <f>VLOOKUP(C816,SintéticoNC!$F$4:$G$83,2,FALSE)</f>
        <v>Bancada de São Paulo</v>
      </c>
      <c r="C816" s="42" t="s">
        <v>164</v>
      </c>
      <c r="D816" s="23" t="s">
        <v>216</v>
      </c>
      <c r="E816" s="43" t="s">
        <v>15</v>
      </c>
      <c r="F816" s="50"/>
      <c r="G816" s="50">
        <f>I740*ÍndiceCorreçãoNC!$C$14</f>
        <v>0</v>
      </c>
      <c r="H816" s="50">
        <f t="shared" si="36"/>
        <v>0</v>
      </c>
      <c r="I816" s="50">
        <f t="shared" si="37"/>
        <v>700128.04143119999</v>
      </c>
      <c r="J816" s="106" t="str">
        <f t="shared" si="38"/>
        <v/>
      </c>
      <c r="K816" s="105"/>
    </row>
    <row r="817" spans="2:11" ht="12.95" customHeight="1" x14ac:dyDescent="0.25">
      <c r="B817" s="45" t="str">
        <f>VLOOKUP(C817,SintéticoNC!$F$4:$G$83,2,FALSE)</f>
        <v>Bancada do Espírito Santo</v>
      </c>
      <c r="C817" s="42" t="s">
        <v>166</v>
      </c>
      <c r="D817" s="23" t="s">
        <v>216</v>
      </c>
      <c r="E817" s="43" t="s">
        <v>15</v>
      </c>
      <c r="F817" s="50"/>
      <c r="G817" s="50">
        <f>I741*ÍndiceCorreçãoNC!$C$14</f>
        <v>0</v>
      </c>
      <c r="H817" s="50">
        <f t="shared" si="36"/>
        <v>0</v>
      </c>
      <c r="I817" s="50">
        <f t="shared" si="37"/>
        <v>788459.69457000005</v>
      </c>
      <c r="J817" s="106" t="str">
        <f t="shared" si="38"/>
        <v/>
      </c>
      <c r="K817" s="105"/>
    </row>
    <row r="818" spans="2:11" ht="12.95" customHeight="1" x14ac:dyDescent="0.25">
      <c r="B818" s="45" t="str">
        <f>VLOOKUP(C818,SintéticoNC!$F$4:$G$83,2,FALSE)</f>
        <v>Bancada do Espírito Santo</v>
      </c>
      <c r="C818" s="42" t="s">
        <v>168</v>
      </c>
      <c r="D818" s="23" t="s">
        <v>216</v>
      </c>
      <c r="E818" s="43" t="s">
        <v>15</v>
      </c>
      <c r="F818" s="50"/>
      <c r="G818" s="50">
        <f>I742*ÍndiceCorreçãoNC!$C$14</f>
        <v>0</v>
      </c>
      <c r="H818" s="50">
        <f t="shared" si="36"/>
        <v>0</v>
      </c>
      <c r="I818" s="50">
        <f t="shared" si="37"/>
        <v>846012.20733993209</v>
      </c>
      <c r="J818" s="106" t="str">
        <f t="shared" si="38"/>
        <v/>
      </c>
      <c r="K818" s="105"/>
    </row>
    <row r="819" spans="2:11" ht="12.95" customHeight="1" x14ac:dyDescent="0.25">
      <c r="B819" s="45" t="str">
        <f>VLOOKUP(C819,SintéticoNC!$F$4:$G$83,2,FALSE)</f>
        <v>Bancada do Pará</v>
      </c>
      <c r="C819" s="42" t="s">
        <v>170</v>
      </c>
      <c r="D819" s="23" t="s">
        <v>216</v>
      </c>
      <c r="E819" s="43" t="s">
        <v>15</v>
      </c>
      <c r="F819" s="50"/>
      <c r="G819" s="50">
        <f>I743*ÍndiceCorreçãoNC!$C$14</f>
        <v>0</v>
      </c>
      <c r="H819" s="50">
        <f t="shared" si="36"/>
        <v>0</v>
      </c>
      <c r="I819" s="50">
        <f t="shared" si="37"/>
        <v>185282.99335999999</v>
      </c>
      <c r="J819" s="106" t="str">
        <f t="shared" si="38"/>
        <v/>
      </c>
      <c r="K819" s="105"/>
    </row>
    <row r="820" spans="2:11" ht="12.95" customHeight="1" x14ac:dyDescent="0.25">
      <c r="B820" s="45" t="str">
        <f>VLOOKUP(C820,SintéticoNC!$F$4:$G$83,2,FALSE)</f>
        <v>Bancada do Pará</v>
      </c>
      <c r="C820" s="42" t="s">
        <v>172</v>
      </c>
      <c r="D820" s="23" t="s">
        <v>216</v>
      </c>
      <c r="E820" s="43" t="s">
        <v>15</v>
      </c>
      <c r="F820" s="50"/>
      <c r="G820" s="50">
        <f>I744*ÍndiceCorreçãoNC!$C$14</f>
        <v>0</v>
      </c>
      <c r="H820" s="50">
        <f t="shared" si="36"/>
        <v>0</v>
      </c>
      <c r="I820" s="50">
        <f t="shared" si="37"/>
        <v>314598.4390518</v>
      </c>
      <c r="J820" s="106" t="str">
        <f t="shared" si="38"/>
        <v/>
      </c>
      <c r="K820" s="105"/>
    </row>
    <row r="821" spans="2:11" ht="12.95" customHeight="1" x14ac:dyDescent="0.25">
      <c r="B821" s="45" t="str">
        <f>VLOOKUP(C821,SintéticoNC!$F$4:$G$83,2,FALSE)</f>
        <v>Coronel Chrisóstomo</v>
      </c>
      <c r="C821" s="42" t="s">
        <v>174</v>
      </c>
      <c r="D821" s="23" t="s">
        <v>216</v>
      </c>
      <c r="E821" s="43" t="s">
        <v>15</v>
      </c>
      <c r="F821" s="50"/>
      <c r="G821" s="50">
        <f>I745*ÍndiceCorreçãoNC!$C$14</f>
        <v>0</v>
      </c>
      <c r="H821" s="50">
        <f t="shared" si="36"/>
        <v>0</v>
      </c>
      <c r="I821" s="50">
        <f t="shared" si="37"/>
        <v>61928.826585000003</v>
      </c>
      <c r="J821" s="106" t="str">
        <f t="shared" si="38"/>
        <v/>
      </c>
      <c r="K821" s="105"/>
    </row>
    <row r="822" spans="2:11" ht="12.95" customHeight="1" x14ac:dyDescent="0.25">
      <c r="B822" s="45" t="str">
        <f>VLOOKUP(C822,SintéticoNC!$F$4:$G$83,2,FALSE)</f>
        <v>Dimas Fabiano</v>
      </c>
      <c r="C822" s="42" t="s">
        <v>176</v>
      </c>
      <c r="D822" s="23" t="s">
        <v>216</v>
      </c>
      <c r="E822" s="43" t="s">
        <v>15</v>
      </c>
      <c r="F822" s="50"/>
      <c r="G822" s="50">
        <f>I746*ÍndiceCorreçãoNC!$C$14</f>
        <v>0</v>
      </c>
      <c r="H822" s="50">
        <f t="shared" si="36"/>
        <v>0</v>
      </c>
      <c r="I822" s="50">
        <f t="shared" si="37"/>
        <v>93648.469469999996</v>
      </c>
      <c r="J822" s="106" t="str">
        <f t="shared" si="38"/>
        <v/>
      </c>
      <c r="K822" s="105"/>
    </row>
    <row r="823" spans="2:11" ht="12.95" customHeight="1" x14ac:dyDescent="0.25">
      <c r="B823" s="45" t="str">
        <f>VLOOKUP(C823,SintéticoNC!$F$4:$G$83,2,FALSE)</f>
        <v>Edna Henrique</v>
      </c>
      <c r="C823" s="42" t="s">
        <v>178</v>
      </c>
      <c r="D823" s="23" t="s">
        <v>216</v>
      </c>
      <c r="E823" s="43" t="s">
        <v>15</v>
      </c>
      <c r="F823" s="50"/>
      <c r="G823" s="50">
        <f>I747*ÍndiceCorreçãoNC!$C$14</f>
        <v>0</v>
      </c>
      <c r="H823" s="50">
        <f t="shared" si="36"/>
        <v>0</v>
      </c>
      <c r="I823" s="50">
        <f t="shared" si="37"/>
        <v>92641.496679999997</v>
      </c>
      <c r="J823" s="106" t="str">
        <f t="shared" si="38"/>
        <v/>
      </c>
      <c r="K823" s="105"/>
    </row>
    <row r="824" spans="2:11" ht="12.95" customHeight="1" x14ac:dyDescent="0.25">
      <c r="B824" s="45" t="str">
        <f>VLOOKUP(C824,SintéticoNC!$F$4:$G$83,2,FALSE)</f>
        <v>Fabio Reis</v>
      </c>
      <c r="C824" s="42" t="s">
        <v>180</v>
      </c>
      <c r="D824" s="23" t="s">
        <v>216</v>
      </c>
      <c r="E824" s="43" t="s">
        <v>15</v>
      </c>
      <c r="F824" s="50"/>
      <c r="G824" s="50">
        <f>I748*ÍndiceCorreçãoNC!$C$14</f>
        <v>0</v>
      </c>
      <c r="H824" s="50">
        <f t="shared" si="36"/>
        <v>0</v>
      </c>
      <c r="I824" s="50">
        <f t="shared" si="37"/>
        <v>42172.020445200003</v>
      </c>
      <c r="J824" s="106" t="str">
        <f t="shared" si="38"/>
        <v/>
      </c>
      <c r="K824" s="105"/>
    </row>
    <row r="825" spans="2:11" ht="12.95" customHeight="1" x14ac:dyDescent="0.25">
      <c r="B825" s="45" t="str">
        <f>VLOOKUP(C825,SintéticoNC!$F$4:$G$83,2,FALSE)</f>
        <v>Flavia Arruda</v>
      </c>
      <c r="C825" s="42" t="s">
        <v>182</v>
      </c>
      <c r="D825" s="23" t="s">
        <v>216</v>
      </c>
      <c r="E825" s="43" t="s">
        <v>15</v>
      </c>
      <c r="F825" s="50"/>
      <c r="G825" s="50">
        <f>I749*ÍndiceCorreçãoNC!$C$14</f>
        <v>0</v>
      </c>
      <c r="H825" s="50">
        <f t="shared" si="36"/>
        <v>0</v>
      </c>
      <c r="I825" s="50">
        <f t="shared" si="37"/>
        <v>371113.77991776</v>
      </c>
      <c r="J825" s="106" t="str">
        <f t="shared" si="38"/>
        <v/>
      </c>
      <c r="K825" s="105"/>
    </row>
    <row r="826" spans="2:11" ht="12.95" customHeight="1" x14ac:dyDescent="0.25">
      <c r="B826" s="45" t="str">
        <f>VLOOKUP(C826,SintéticoNC!$F$4:$G$83,2,FALSE)</f>
        <v>General Girão</v>
      </c>
      <c r="C826" s="42" t="s">
        <v>184</v>
      </c>
      <c r="D826" s="23" t="s">
        <v>216</v>
      </c>
      <c r="E826" s="43" t="s">
        <v>15</v>
      </c>
      <c r="F826" s="50"/>
      <c r="G826" s="50">
        <f>I750*ÍndiceCorreçãoNC!$C$14</f>
        <v>0</v>
      </c>
      <c r="H826" s="50">
        <f t="shared" si="36"/>
        <v>0</v>
      </c>
      <c r="I826" s="50">
        <f t="shared" si="37"/>
        <v>93648.469469999996</v>
      </c>
      <c r="J826" s="106" t="str">
        <f t="shared" si="38"/>
        <v/>
      </c>
      <c r="K826" s="105"/>
    </row>
    <row r="827" spans="2:11" ht="12.95" customHeight="1" x14ac:dyDescent="0.25">
      <c r="B827" s="45" t="str">
        <f>VLOOKUP(C827,SintéticoNC!$F$4:$G$83,2,FALSE)</f>
        <v>José Nunes</v>
      </c>
      <c r="C827" s="42" t="s">
        <v>186</v>
      </c>
      <c r="D827" s="23" t="s">
        <v>216</v>
      </c>
      <c r="E827" s="43" t="s">
        <v>15</v>
      </c>
      <c r="F827" s="50"/>
      <c r="G827" s="50">
        <f>I751*ÍndiceCorreçãoNC!$C$14</f>
        <v>0</v>
      </c>
      <c r="H827" s="50">
        <f t="shared" si="36"/>
        <v>0</v>
      </c>
      <c r="I827" s="50">
        <f t="shared" si="37"/>
        <v>93648.469469999996</v>
      </c>
      <c r="J827" s="106" t="str">
        <f t="shared" si="38"/>
        <v/>
      </c>
      <c r="K827" s="105"/>
    </row>
    <row r="828" spans="2:11" ht="12.95" customHeight="1" x14ac:dyDescent="0.25">
      <c r="B828" s="45" t="str">
        <f>VLOOKUP(C828,SintéticoNC!$F$4:$G$83,2,FALSE)</f>
        <v>Josivaldo JP</v>
      </c>
      <c r="C828" s="42" t="s">
        <v>188</v>
      </c>
      <c r="D828" s="23" t="s">
        <v>216</v>
      </c>
      <c r="E828" s="43" t="s">
        <v>15</v>
      </c>
      <c r="F828" s="50"/>
      <c r="G828" s="50">
        <f>I752*ÍndiceCorreçãoNC!$C$14</f>
        <v>0</v>
      </c>
      <c r="H828" s="50">
        <f t="shared" si="36"/>
        <v>0</v>
      </c>
      <c r="I828" s="50">
        <f t="shared" si="37"/>
        <v>48334.693919999998</v>
      </c>
      <c r="J828" s="106" t="str">
        <f t="shared" si="38"/>
        <v/>
      </c>
      <c r="K828" s="105"/>
    </row>
    <row r="829" spans="2:11" ht="12.95" customHeight="1" x14ac:dyDescent="0.25">
      <c r="B829" s="45" t="str">
        <f>VLOOKUP(C829,SintéticoNC!$F$4:$G$83,2,FALSE)</f>
        <v>Junior Lourenço</v>
      </c>
      <c r="C829" s="42" t="s">
        <v>190</v>
      </c>
      <c r="D829" s="23" t="s">
        <v>216</v>
      </c>
      <c r="E829" s="43" t="s">
        <v>15</v>
      </c>
      <c r="F829" s="50"/>
      <c r="G829" s="50">
        <f>I753*ÍndiceCorreçãoNC!$C$14</f>
        <v>0</v>
      </c>
      <c r="H829" s="50">
        <f t="shared" si="36"/>
        <v>0</v>
      </c>
      <c r="I829" s="50">
        <f t="shared" si="37"/>
        <v>156080.78245</v>
      </c>
      <c r="J829" s="106" t="str">
        <f t="shared" si="38"/>
        <v/>
      </c>
      <c r="K829" s="105"/>
    </row>
    <row r="830" spans="2:11" ht="12.95" customHeight="1" x14ac:dyDescent="0.25">
      <c r="B830" s="45" t="str">
        <f>VLOOKUP(C830,SintéticoNC!$F$4:$G$83,2,FALSE)</f>
        <v>Leo de Brito</v>
      </c>
      <c r="C830" s="42" t="s">
        <v>192</v>
      </c>
      <c r="D830" s="23" t="s">
        <v>216</v>
      </c>
      <c r="E830" s="43" t="s">
        <v>15</v>
      </c>
      <c r="F830" s="50"/>
      <c r="G830" s="50">
        <f>I754*ÍndiceCorreçãoNC!$C$14</f>
        <v>0</v>
      </c>
      <c r="H830" s="50">
        <f t="shared" si="36"/>
        <v>0</v>
      </c>
      <c r="I830" s="50">
        <f t="shared" si="37"/>
        <v>171185.3743</v>
      </c>
      <c r="J830" s="106" t="str">
        <f t="shared" si="38"/>
        <v/>
      </c>
      <c r="K830" s="105"/>
    </row>
    <row r="831" spans="2:11" ht="12.95" customHeight="1" x14ac:dyDescent="0.25">
      <c r="B831" s="45" t="str">
        <f>VLOOKUP(C831,SintéticoNC!$F$4:$G$83,2,FALSE)</f>
        <v>Luciano Bivar</v>
      </c>
      <c r="C831" s="42" t="s">
        <v>194</v>
      </c>
      <c r="D831" s="23" t="s">
        <v>216</v>
      </c>
      <c r="E831" s="43" t="s">
        <v>15</v>
      </c>
      <c r="F831" s="50"/>
      <c r="G831" s="50">
        <f>I755*ÍndiceCorreçãoNC!$C$14</f>
        <v>0</v>
      </c>
      <c r="H831" s="50">
        <f t="shared" si="36"/>
        <v>0</v>
      </c>
      <c r="I831" s="50">
        <f t="shared" si="37"/>
        <v>93648.469469999996</v>
      </c>
      <c r="J831" s="106" t="str">
        <f t="shared" si="38"/>
        <v/>
      </c>
      <c r="K831" s="105"/>
    </row>
    <row r="832" spans="2:11" ht="12.95" customHeight="1" x14ac:dyDescent="0.25">
      <c r="B832" s="45" t="str">
        <f>VLOOKUP(C832,SintéticoNC!$F$4:$G$83,2,FALSE)</f>
        <v>Luis Tibé</v>
      </c>
      <c r="C832" s="42" t="s">
        <v>196</v>
      </c>
      <c r="D832" s="23" t="s">
        <v>216</v>
      </c>
      <c r="E832" s="43" t="s">
        <v>15</v>
      </c>
      <c r="F832" s="50"/>
      <c r="G832" s="50">
        <f>I756*ÍndiceCorreçãoNC!$C$14</f>
        <v>0</v>
      </c>
      <c r="H832" s="50">
        <f t="shared" si="36"/>
        <v>0</v>
      </c>
      <c r="I832" s="50">
        <f t="shared" si="37"/>
        <v>93648.469469999996</v>
      </c>
      <c r="J832" s="106" t="str">
        <f t="shared" si="38"/>
        <v/>
      </c>
      <c r="K832" s="105"/>
    </row>
    <row r="833" spans="2:11" ht="12.95" customHeight="1" x14ac:dyDescent="0.25">
      <c r="B833" s="45" t="str">
        <f>VLOOKUP(C833,SintéticoNC!$F$4:$G$83,2,FALSE)</f>
        <v>Mara Rocha</v>
      </c>
      <c r="C833" s="42" t="s">
        <v>198</v>
      </c>
      <c r="D833" s="23" t="s">
        <v>216</v>
      </c>
      <c r="E833" s="43" t="s">
        <v>15</v>
      </c>
      <c r="F833" s="50"/>
      <c r="G833" s="50">
        <f>I757*ÍndiceCorreçãoNC!$C$14</f>
        <v>0</v>
      </c>
      <c r="H833" s="50">
        <f t="shared" si="36"/>
        <v>0</v>
      </c>
      <c r="I833" s="50">
        <f t="shared" si="37"/>
        <v>171185.3743</v>
      </c>
      <c r="J833" s="106" t="str">
        <f t="shared" si="38"/>
        <v/>
      </c>
      <c r="K833" s="105"/>
    </row>
    <row r="834" spans="2:11" ht="12.95" customHeight="1" x14ac:dyDescent="0.25">
      <c r="B834" s="45" t="str">
        <f>VLOOKUP(C834,SintéticoNC!$F$4:$G$83,2,FALSE)</f>
        <v>Marx Beltrão</v>
      </c>
      <c r="C834" s="42" t="s">
        <v>200</v>
      </c>
      <c r="D834" s="23" t="s">
        <v>216</v>
      </c>
      <c r="E834" s="43" t="s">
        <v>15</v>
      </c>
      <c r="F834" s="50"/>
      <c r="G834" s="50">
        <f>I758*ÍndiceCorreçãoNC!$C$14</f>
        <v>0</v>
      </c>
      <c r="H834" s="50">
        <f t="shared" si="36"/>
        <v>0</v>
      </c>
      <c r="I834" s="50">
        <f t="shared" si="37"/>
        <v>93648.469469999996</v>
      </c>
      <c r="J834" s="106" t="str">
        <f t="shared" si="38"/>
        <v/>
      </c>
      <c r="K834" s="105"/>
    </row>
    <row r="835" spans="2:11" ht="12.95" customHeight="1" x14ac:dyDescent="0.25">
      <c r="B835" s="45" t="str">
        <f>VLOOKUP(C835,SintéticoNC!$F$4:$G$83,2,FALSE)</f>
        <v>Perpétua Almeida</v>
      </c>
      <c r="C835" s="42" t="s">
        <v>202</v>
      </c>
      <c r="D835" s="23" t="s">
        <v>216</v>
      </c>
      <c r="E835" s="43" t="s">
        <v>15</v>
      </c>
      <c r="F835" s="50"/>
      <c r="G835" s="50">
        <f>I759*ÍndiceCorreçãoNC!$C$14</f>
        <v>0</v>
      </c>
      <c r="H835" s="50">
        <f t="shared" si="36"/>
        <v>0</v>
      </c>
      <c r="I835" s="50">
        <f t="shared" si="37"/>
        <v>194341.72057884</v>
      </c>
      <c r="J835" s="106" t="str">
        <f t="shared" si="38"/>
        <v/>
      </c>
      <c r="K835" s="105"/>
    </row>
    <row r="836" spans="2:11" ht="12.95" customHeight="1" x14ac:dyDescent="0.25">
      <c r="B836" s="45" t="str">
        <f>VLOOKUP(C836,SintéticoNC!$F$4:$G$83,2,FALSE)</f>
        <v>Sérgio Petecão</v>
      </c>
      <c r="C836" s="42" t="s">
        <v>204</v>
      </c>
      <c r="D836" s="23" t="s">
        <v>216</v>
      </c>
      <c r="E836" s="43" t="s">
        <v>15</v>
      </c>
      <c r="F836" s="50"/>
      <c r="G836" s="50">
        <f>I760*ÍndiceCorreçãoNC!$C$14</f>
        <v>0</v>
      </c>
      <c r="H836" s="50">
        <f t="shared" si="36"/>
        <v>0</v>
      </c>
      <c r="I836" s="50">
        <f t="shared" si="37"/>
        <v>133538.68957305999</v>
      </c>
      <c r="J836" s="106" t="str">
        <f t="shared" si="38"/>
        <v/>
      </c>
      <c r="K836" s="105"/>
    </row>
    <row r="837" spans="2:11" ht="12.95" customHeight="1" x14ac:dyDescent="0.25">
      <c r="B837" s="45" t="str">
        <f>VLOOKUP(C837,SintéticoNC!$F$4:$G$83,2,FALSE)</f>
        <v>Uldurico Junior</v>
      </c>
      <c r="C837" s="42" t="s">
        <v>206</v>
      </c>
      <c r="D837" s="23" t="s">
        <v>216</v>
      </c>
      <c r="E837" s="43" t="s">
        <v>15</v>
      </c>
      <c r="F837" s="50"/>
      <c r="G837" s="50">
        <f>I761*ÍndiceCorreçãoNC!$C$14</f>
        <v>0</v>
      </c>
      <c r="H837" s="50">
        <f t="shared" si="36"/>
        <v>0</v>
      </c>
      <c r="I837" s="50">
        <f t="shared" si="37"/>
        <v>141983.16339</v>
      </c>
      <c r="J837" s="106" t="str">
        <f t="shared" si="38"/>
        <v/>
      </c>
      <c r="K837" s="105"/>
    </row>
    <row r="838" spans="2:11" ht="12.95" customHeight="1" x14ac:dyDescent="0.25">
      <c r="B838" s="45" t="str">
        <f>VLOOKUP(C838,SintéticoNC!$F$4:$G$83,2,FALSE)</f>
        <v>Soraya Thronicke</v>
      </c>
      <c r="C838" s="42" t="s">
        <v>208</v>
      </c>
      <c r="D838" s="23" t="s">
        <v>216</v>
      </c>
      <c r="E838" s="43" t="s">
        <v>15</v>
      </c>
      <c r="F838" s="50"/>
      <c r="G838" s="50">
        <f>I762*ÍndiceCorreçãoNC!$C$14</f>
        <v>0</v>
      </c>
      <c r="H838" s="50">
        <f t="shared" si="36"/>
        <v>0</v>
      </c>
      <c r="I838" s="50">
        <f t="shared" si="37"/>
        <v>156080.78245</v>
      </c>
      <c r="J838" s="106" t="str">
        <f t="shared" si="38"/>
        <v/>
      </c>
      <c r="K838" s="105"/>
    </row>
    <row r="839" spans="2:11" ht="12.95" customHeight="1" x14ac:dyDescent="0.25">
      <c r="B839" s="45" t="str">
        <f>VLOOKUP(C839,SintéticoNC!$F$4:$G$83,2,FALSE)</f>
        <v>MCom</v>
      </c>
      <c r="C839" s="42" t="s">
        <v>211</v>
      </c>
      <c r="D839" s="23" t="s">
        <v>216</v>
      </c>
      <c r="E839" s="43" t="s">
        <v>15</v>
      </c>
      <c r="F839" s="50"/>
      <c r="G839" s="50">
        <f>I763*ÍndiceCorreçãoNC!$C$14</f>
        <v>0</v>
      </c>
      <c r="H839" s="50">
        <f t="shared" si="36"/>
        <v>0</v>
      </c>
      <c r="I839" s="50">
        <f t="shared" si="37"/>
        <v>503486.39500000002</v>
      </c>
      <c r="J839" s="106" t="str">
        <f t="shared" si="38"/>
        <v/>
      </c>
      <c r="K839" s="105"/>
    </row>
    <row r="840" spans="2:11" ht="12.95" customHeight="1" x14ac:dyDescent="0.25">
      <c r="B840" s="45" t="str">
        <f>VLOOKUP(C840,SintéticoNC!$F$4:$G$83,2,FALSE)</f>
        <v>Cabo Junio Amaral</v>
      </c>
      <c r="C840" s="42" t="s">
        <v>213</v>
      </c>
      <c r="D840" s="23" t="s">
        <v>216</v>
      </c>
      <c r="E840" s="43" t="s">
        <v>15</v>
      </c>
      <c r="F840" s="50"/>
      <c r="G840" s="50">
        <f>I764*ÍndiceCorreçãoNC!$C$14</f>
        <v>0</v>
      </c>
      <c r="H840" s="50">
        <f t="shared" si="36"/>
        <v>0</v>
      </c>
      <c r="I840" s="50">
        <f t="shared" si="37"/>
        <v>93648.469469999996</v>
      </c>
      <c r="J840" s="106" t="str">
        <f t="shared" si="38"/>
        <v/>
      </c>
      <c r="K840" s="105"/>
    </row>
    <row r="841" spans="2:11" ht="12.95" customHeight="1" x14ac:dyDescent="0.25">
      <c r="B841" s="45" t="str">
        <f>VLOOKUP(C841,SintéticoNC!$F$4:$G$83,2,FALSE)</f>
        <v>Leur Lomanto</v>
      </c>
      <c r="C841" s="42" t="s">
        <v>215</v>
      </c>
      <c r="D841" s="23" t="s">
        <v>216</v>
      </c>
      <c r="E841" s="43" t="s">
        <v>15</v>
      </c>
      <c r="F841" s="50"/>
      <c r="G841" s="50">
        <f>I765*ÍndiceCorreçãoNC!$C$14</f>
        <v>0</v>
      </c>
      <c r="H841" s="50">
        <f t="shared" si="36"/>
        <v>0</v>
      </c>
      <c r="I841" s="50">
        <f t="shared" si="37"/>
        <v>28195.238120000002</v>
      </c>
      <c r="J841" s="106" t="str">
        <f t="shared" si="38"/>
        <v/>
      </c>
      <c r="K841" s="105"/>
    </row>
    <row r="842" spans="2:11" ht="12.95" customHeight="1" x14ac:dyDescent="0.25">
      <c r="B842" s="45" t="str">
        <f>VLOOKUP(C842,SintéticoNC!$F$4:$G$83,2,FALSE)</f>
        <v>Bancada de Alagoas</v>
      </c>
      <c r="C842" s="42" t="s">
        <v>141</v>
      </c>
      <c r="D842" s="23" t="s">
        <v>153</v>
      </c>
      <c r="E842" s="43" t="s">
        <v>16</v>
      </c>
      <c r="F842" s="50"/>
      <c r="G842" s="50">
        <f>IF(I766="","",I766*ÍndiceCorreçãoNC!$C$15)</f>
        <v>0</v>
      </c>
      <c r="H842" s="50">
        <f t="shared" si="36"/>
        <v>0</v>
      </c>
      <c r="I842" s="50">
        <f t="shared" si="37"/>
        <v>1814033.9908278328</v>
      </c>
      <c r="J842" s="106" t="str">
        <f t="shared" si="38"/>
        <v/>
      </c>
      <c r="K842" s="105"/>
    </row>
    <row r="843" spans="2:11" ht="12.95" customHeight="1" x14ac:dyDescent="0.25">
      <c r="B843" s="45" t="str">
        <f>VLOOKUP(C843,SintéticoNC!$F$4:$G$83,2,FALSE)</f>
        <v>Bancada de Alagoas</v>
      </c>
      <c r="C843" s="42" t="s">
        <v>142</v>
      </c>
      <c r="D843" s="23" t="s">
        <v>153</v>
      </c>
      <c r="E843" s="43" t="s">
        <v>16</v>
      </c>
      <c r="F843" s="50"/>
      <c r="G843" s="50">
        <f>I767*ÍndiceCorreçãoNC!$C$15</f>
        <v>0</v>
      </c>
      <c r="H843" s="50">
        <f t="shared" si="36"/>
        <v>0</v>
      </c>
      <c r="I843" s="50">
        <f t="shared" si="37"/>
        <v>528056.53107599996</v>
      </c>
      <c r="J843" s="106" t="str">
        <f t="shared" si="38"/>
        <v/>
      </c>
      <c r="K843" s="105"/>
    </row>
    <row r="844" spans="2:11" ht="12.95" customHeight="1" x14ac:dyDescent="0.25">
      <c r="B844" s="45" t="str">
        <f>VLOOKUP(C844,SintéticoNC!$F$4:$G$83,2,FALSE)</f>
        <v>Bancada de Alagoas</v>
      </c>
      <c r="C844" s="42" t="s">
        <v>143</v>
      </c>
      <c r="D844" s="23" t="s">
        <v>153</v>
      </c>
      <c r="E844" s="43" t="s">
        <v>16</v>
      </c>
      <c r="F844" s="50"/>
      <c r="G844" s="50">
        <f>I768*ÍndiceCorreçãoNC!$C$15</f>
        <v>0</v>
      </c>
      <c r="H844" s="50">
        <f t="shared" si="36"/>
        <v>0</v>
      </c>
      <c r="I844" s="50">
        <f t="shared" si="37"/>
        <v>5262250.4896554798</v>
      </c>
      <c r="J844" s="106" t="str">
        <f t="shared" si="38"/>
        <v/>
      </c>
      <c r="K844" s="105"/>
    </row>
    <row r="845" spans="2:11" ht="12.95" customHeight="1" x14ac:dyDescent="0.25">
      <c r="B845" s="45" t="str">
        <f>VLOOKUP(C845,SintéticoNC!$F$4:$G$83,2,FALSE)</f>
        <v>Bancada de Minas Gerais</v>
      </c>
      <c r="C845" s="42" t="s">
        <v>144</v>
      </c>
      <c r="D845" s="23" t="s">
        <v>153</v>
      </c>
      <c r="E845" s="43" t="s">
        <v>16</v>
      </c>
      <c r="F845" s="50"/>
      <c r="G845" s="50">
        <f>I769*ÍndiceCorreçãoNC!$C$15</f>
        <v>0</v>
      </c>
      <c r="H845" s="50">
        <f t="shared" si="36"/>
        <v>0</v>
      </c>
      <c r="I845" s="50">
        <f t="shared" si="37"/>
        <v>13370850.949225677</v>
      </c>
      <c r="J845" s="106" t="str">
        <f t="shared" si="38"/>
        <v/>
      </c>
      <c r="K845" s="105"/>
    </row>
    <row r="846" spans="2:11" ht="12.95" customHeight="1" x14ac:dyDescent="0.25">
      <c r="B846" s="45" t="str">
        <f>VLOOKUP(C846,SintéticoNC!$F$4:$G$83,2,FALSE)</f>
        <v>Bancada de São Paulo</v>
      </c>
      <c r="C846" s="42" t="s">
        <v>145</v>
      </c>
      <c r="D846" s="23" t="s">
        <v>153</v>
      </c>
      <c r="E846" s="43" t="s">
        <v>16</v>
      </c>
      <c r="F846" s="50"/>
      <c r="G846" s="50">
        <f>I770*ÍndiceCorreçãoNC!$C$15</f>
        <v>0</v>
      </c>
      <c r="H846" s="50">
        <f t="shared" si="36"/>
        <v>0</v>
      </c>
      <c r="I846" s="50">
        <f t="shared" si="37"/>
        <v>1555533.3010259799</v>
      </c>
      <c r="J846" s="106" t="str">
        <f t="shared" si="38"/>
        <v/>
      </c>
      <c r="K846" s="105"/>
    </row>
    <row r="847" spans="2:11" ht="12.95" customHeight="1" x14ac:dyDescent="0.25">
      <c r="B847" s="45" t="str">
        <f>VLOOKUP(C847,SintéticoNC!$F$4:$G$83,2,FALSE)</f>
        <v>Bancada do Espírito Santo</v>
      </c>
      <c r="C847" s="42" t="s">
        <v>146</v>
      </c>
      <c r="D847" s="23" t="s">
        <v>153</v>
      </c>
      <c r="E847" s="43" t="s">
        <v>16</v>
      </c>
      <c r="F847" s="50"/>
      <c r="G847" s="50">
        <f>I771*ÍndiceCorreçãoNC!$C$15</f>
        <v>0</v>
      </c>
      <c r="H847" s="50">
        <f t="shared" si="36"/>
        <v>0</v>
      </c>
      <c r="I847" s="50">
        <f t="shared" si="37"/>
        <v>1420853.1473770875</v>
      </c>
      <c r="J847" s="106" t="str">
        <f t="shared" si="38"/>
        <v/>
      </c>
      <c r="K847" s="105"/>
    </row>
    <row r="848" spans="2:11" ht="12.95" customHeight="1" x14ac:dyDescent="0.25">
      <c r="B848" s="45" t="str">
        <f>VLOOKUP(C848,SintéticoNC!$F$4:$G$83,2,FALSE)</f>
        <v>Bancada do Espírito Santo</v>
      </c>
      <c r="C848" s="42" t="s">
        <v>147</v>
      </c>
      <c r="D848" s="23" t="s">
        <v>153</v>
      </c>
      <c r="E848" s="43" t="s">
        <v>16</v>
      </c>
      <c r="F848" s="50"/>
      <c r="G848" s="50">
        <f>I772*ÍndiceCorreçãoNC!$C$15</f>
        <v>0</v>
      </c>
      <c r="H848" s="50">
        <f t="shared" si="36"/>
        <v>0</v>
      </c>
      <c r="I848" s="50">
        <f t="shared" si="37"/>
        <v>2260653.9135500002</v>
      </c>
      <c r="J848" s="106" t="str">
        <f t="shared" si="38"/>
        <v/>
      </c>
      <c r="K848" s="105"/>
    </row>
    <row r="849" spans="2:11" ht="12.95" customHeight="1" x14ac:dyDescent="0.25">
      <c r="B849" s="45" t="str">
        <f>VLOOKUP(C849,SintéticoNC!$F$4:$G$83,2,FALSE)</f>
        <v>Bancada do Espírito Santo</v>
      </c>
      <c r="C849" s="42" t="s">
        <v>148</v>
      </c>
      <c r="D849" s="23" t="s">
        <v>153</v>
      </c>
      <c r="E849" s="43" t="s">
        <v>16</v>
      </c>
      <c r="F849" s="50"/>
      <c r="G849" s="50">
        <f>I773*ÍndiceCorreçãoNC!$C$15</f>
        <v>0</v>
      </c>
      <c r="H849" s="50">
        <f t="shared" si="36"/>
        <v>0</v>
      </c>
      <c r="I849" s="50">
        <f t="shared" si="37"/>
        <v>2771189.1180799999</v>
      </c>
      <c r="J849" s="106" t="str">
        <f t="shared" si="38"/>
        <v/>
      </c>
      <c r="K849" s="105"/>
    </row>
    <row r="850" spans="2:11" ht="12.95" customHeight="1" x14ac:dyDescent="0.25">
      <c r="B850" s="45" t="str">
        <f>VLOOKUP(C850,SintéticoNC!$F$4:$G$83,2,FALSE)</f>
        <v>Bancada do Maranhão</v>
      </c>
      <c r="C850" s="42" t="s">
        <v>149</v>
      </c>
      <c r="D850" s="23" t="s">
        <v>153</v>
      </c>
      <c r="E850" s="43" t="s">
        <v>16</v>
      </c>
      <c r="F850" s="50"/>
      <c r="G850" s="50">
        <f>I774*ÍndiceCorreçãoNC!$C$15</f>
        <v>0</v>
      </c>
      <c r="H850" s="50">
        <f t="shared" ref="H850:H913" si="39">IF(I774+G850&gt;F850,F850,I774+G850)</f>
        <v>0</v>
      </c>
      <c r="I850" s="50">
        <f t="shared" ref="I850:I913" si="40">IF(F850&gt;I774+G850,"",I774+G850-F850)</f>
        <v>755229.59250000003</v>
      </c>
      <c r="J850" s="106" t="str">
        <f t="shared" ref="J850:J913" si="41">IF(I850="",F850-(I774+G850),"")</f>
        <v/>
      </c>
      <c r="K850" s="105"/>
    </row>
    <row r="851" spans="2:11" ht="12.95" customHeight="1" x14ac:dyDescent="0.25">
      <c r="B851" s="45" t="str">
        <f>VLOOKUP(C851,SintéticoNC!$F$4:$G$83,2,FALSE)</f>
        <v>Bancada do Pará</v>
      </c>
      <c r="C851" s="42" t="s">
        <v>152</v>
      </c>
      <c r="D851" s="23" t="s">
        <v>153</v>
      </c>
      <c r="E851" s="43" t="s">
        <v>16</v>
      </c>
      <c r="F851" s="50"/>
      <c r="G851" s="50">
        <f>I775*ÍndiceCorreçãoNC!$C$15</f>
        <v>0</v>
      </c>
      <c r="H851" s="50">
        <f t="shared" si="39"/>
        <v>0</v>
      </c>
      <c r="I851" s="50">
        <f t="shared" si="40"/>
        <v>493416.66710000002</v>
      </c>
      <c r="J851" s="106" t="str">
        <f t="shared" si="41"/>
        <v/>
      </c>
      <c r="K851" s="105"/>
    </row>
    <row r="852" spans="2:11" ht="12.95" customHeight="1" x14ac:dyDescent="0.25">
      <c r="B852" s="45" t="str">
        <f>VLOOKUP(C852,SintéticoNC!$F$4:$G$83,2,FALSE)</f>
        <v>Bancada do Pará</v>
      </c>
      <c r="C852" s="42" t="s">
        <v>151</v>
      </c>
      <c r="D852" s="23" t="s">
        <v>153</v>
      </c>
      <c r="E852" s="43" t="s">
        <v>16</v>
      </c>
      <c r="F852" s="50"/>
      <c r="G852" s="50">
        <f>I776*ÍndiceCorreçãoNC!$C$15</f>
        <v>0</v>
      </c>
      <c r="H852" s="50">
        <f t="shared" si="39"/>
        <v>0</v>
      </c>
      <c r="I852" s="50">
        <f t="shared" si="40"/>
        <v>837197.17760599998</v>
      </c>
      <c r="J852" s="106" t="str">
        <f t="shared" si="41"/>
        <v/>
      </c>
      <c r="K852" s="105"/>
    </row>
    <row r="853" spans="2:11" ht="12.95" customHeight="1" x14ac:dyDescent="0.25">
      <c r="B853" s="45" t="str">
        <f>VLOOKUP(C853,SintéticoNC!$F$4:$G$83,2,FALSE)</f>
        <v>Cabo Junio Amaral</v>
      </c>
      <c r="C853" s="42" t="s">
        <v>150</v>
      </c>
      <c r="D853" s="23" t="s">
        <v>153</v>
      </c>
      <c r="E853" s="43" t="s">
        <v>16</v>
      </c>
      <c r="F853" s="50"/>
      <c r="G853" s="50">
        <f>I777*ÍndiceCorreçãoNC!$C$15</f>
        <v>0</v>
      </c>
      <c r="H853" s="50">
        <f t="shared" si="39"/>
        <v>0</v>
      </c>
      <c r="I853" s="50">
        <f t="shared" si="40"/>
        <v>208443.36752999999</v>
      </c>
      <c r="J853" s="106" t="str">
        <f t="shared" si="41"/>
        <v/>
      </c>
      <c r="K853" s="105"/>
    </row>
    <row r="854" spans="2:11" ht="12.95" customHeight="1" x14ac:dyDescent="0.25">
      <c r="B854" s="45" t="str">
        <f>VLOOKUP(C854,SintéticoNC!$F$4:$G$83,2,FALSE)</f>
        <v>Celso Sabino</v>
      </c>
      <c r="C854" s="42" t="s">
        <v>44</v>
      </c>
      <c r="D854" s="23" t="s">
        <v>153</v>
      </c>
      <c r="E854" s="43" t="s">
        <v>16</v>
      </c>
      <c r="F854" s="50"/>
      <c r="G854" s="50">
        <f>I778*ÍndiceCorreçãoNC!$C$15</f>
        <v>0</v>
      </c>
      <c r="H854" s="50">
        <f t="shared" si="39"/>
        <v>0</v>
      </c>
      <c r="I854" s="50">
        <f t="shared" si="40"/>
        <v>97875.449220310911</v>
      </c>
      <c r="J854" s="106" t="str">
        <f t="shared" si="41"/>
        <v/>
      </c>
      <c r="K854" s="105"/>
    </row>
    <row r="855" spans="2:11" ht="12.95" customHeight="1" x14ac:dyDescent="0.25">
      <c r="B855" s="45" t="str">
        <f>VLOOKUP(C855,SintéticoNC!$F$4:$G$83,2,FALSE)</f>
        <v>Coronel Chrisóstomo</v>
      </c>
      <c r="C855" s="42" t="s">
        <v>47</v>
      </c>
      <c r="D855" s="23" t="s">
        <v>153</v>
      </c>
      <c r="E855" s="43" t="s">
        <v>16</v>
      </c>
      <c r="F855" s="50"/>
      <c r="G855" s="50">
        <f>I779*ÍndiceCorreçãoNC!$C$15</f>
        <v>0</v>
      </c>
      <c r="H855" s="50">
        <f t="shared" si="39"/>
        <v>0</v>
      </c>
      <c r="I855" s="50">
        <f t="shared" si="40"/>
        <v>139465.73141499999</v>
      </c>
      <c r="J855" s="106" t="str">
        <f t="shared" si="41"/>
        <v/>
      </c>
      <c r="K855" s="105"/>
    </row>
    <row r="856" spans="2:11" ht="12.95" customHeight="1" x14ac:dyDescent="0.25">
      <c r="B856" s="45" t="str">
        <f>VLOOKUP(C856,SintéticoNC!$F$4:$G$83,2,FALSE)</f>
        <v>Dimas Fabiano</v>
      </c>
      <c r="C856" s="42" t="s">
        <v>50</v>
      </c>
      <c r="D856" s="23" t="s">
        <v>153</v>
      </c>
      <c r="E856" s="43" t="s">
        <v>16</v>
      </c>
      <c r="F856" s="50"/>
      <c r="G856" s="50">
        <f>I780*ÍndiceCorreçãoNC!$C$15</f>
        <v>0</v>
      </c>
      <c r="H856" s="50">
        <f t="shared" si="39"/>
        <v>0</v>
      </c>
      <c r="I856" s="50">
        <f t="shared" si="40"/>
        <v>208443.36752999999</v>
      </c>
      <c r="J856" s="106" t="str">
        <f t="shared" si="41"/>
        <v/>
      </c>
      <c r="K856" s="105"/>
    </row>
    <row r="857" spans="2:11" ht="12.95" customHeight="1" x14ac:dyDescent="0.25">
      <c r="B857" s="45" t="str">
        <f>VLOOKUP(C857,SintéticoNC!$F$4:$G$83,2,FALSE)</f>
        <v>Edna Henrique</v>
      </c>
      <c r="C857" s="42" t="s">
        <v>53</v>
      </c>
      <c r="D857" s="23" t="s">
        <v>153</v>
      </c>
      <c r="E857" s="43" t="s">
        <v>16</v>
      </c>
      <c r="F857" s="50"/>
      <c r="G857" s="50">
        <f>I781*ÍndiceCorreçãoNC!$C$15</f>
        <v>0</v>
      </c>
      <c r="H857" s="50">
        <f t="shared" si="39"/>
        <v>0</v>
      </c>
      <c r="I857" s="50">
        <f t="shared" si="40"/>
        <v>209450.34031999999</v>
      </c>
      <c r="J857" s="106" t="str">
        <f t="shared" si="41"/>
        <v/>
      </c>
      <c r="K857" s="105"/>
    </row>
    <row r="858" spans="2:11" ht="12.95" customHeight="1" x14ac:dyDescent="0.25">
      <c r="B858" s="45" t="str">
        <f>VLOOKUP(C858,SintéticoNC!$F$4:$G$83,2,FALSE)</f>
        <v>Elias Vaz</v>
      </c>
      <c r="C858" s="42" t="s">
        <v>56</v>
      </c>
      <c r="D858" s="23" t="s">
        <v>153</v>
      </c>
      <c r="E858" s="43" t="s">
        <v>16</v>
      </c>
      <c r="F858" s="50"/>
      <c r="G858" s="50">
        <f>I782*ÍndiceCorreçãoNC!$C$15</f>
        <v>0</v>
      </c>
      <c r="H858" s="50">
        <f t="shared" si="39"/>
        <v>0</v>
      </c>
      <c r="I858" s="50">
        <f t="shared" si="40"/>
        <v>402789.11599999998</v>
      </c>
      <c r="J858" s="106" t="str">
        <f t="shared" si="41"/>
        <v/>
      </c>
      <c r="K858" s="105"/>
    </row>
    <row r="859" spans="2:11" ht="12.95" customHeight="1" x14ac:dyDescent="0.25">
      <c r="B859" s="45" t="str">
        <f>VLOOKUP(C859,SintéticoNC!$F$4:$G$83,2,FALSE)</f>
        <v>Expedito Netto</v>
      </c>
      <c r="C859" s="42" t="s">
        <v>59</v>
      </c>
      <c r="D859" s="23" t="s">
        <v>153</v>
      </c>
      <c r="E859" s="43" t="s">
        <v>16</v>
      </c>
      <c r="F859" s="50"/>
      <c r="G859" s="50">
        <f>I783*ÍndiceCorreçãoNC!$C$15</f>
        <v>0</v>
      </c>
      <c r="H859" s="50">
        <f t="shared" si="39"/>
        <v>0</v>
      </c>
      <c r="I859" s="50">
        <f t="shared" si="40"/>
        <v>283300.95943927957</v>
      </c>
      <c r="J859" s="106" t="str">
        <f t="shared" si="41"/>
        <v/>
      </c>
      <c r="K859" s="105"/>
    </row>
    <row r="860" spans="2:11" ht="12.95" customHeight="1" x14ac:dyDescent="0.25">
      <c r="B860" s="45" t="str">
        <f>VLOOKUP(C860,SintéticoNC!$F$4:$G$83,2,FALSE)</f>
        <v>Fabio Reis</v>
      </c>
      <c r="C860" s="42" t="s">
        <v>62</v>
      </c>
      <c r="D860" s="23" t="s">
        <v>153</v>
      </c>
      <c r="E860" s="43" t="s">
        <v>16</v>
      </c>
      <c r="F860" s="50"/>
      <c r="G860" s="50">
        <f>I784*ÍndiceCorreçãoNC!$C$15</f>
        <v>0</v>
      </c>
      <c r="H860" s="50">
        <f t="shared" si="39"/>
        <v>0</v>
      </c>
      <c r="I860" s="50">
        <f t="shared" si="40"/>
        <v>82156.865781336295</v>
      </c>
      <c r="J860" s="106" t="str">
        <f t="shared" si="41"/>
        <v/>
      </c>
      <c r="K860" s="105"/>
    </row>
    <row r="861" spans="2:11" ht="12.95" customHeight="1" x14ac:dyDescent="0.25">
      <c r="B861" s="45" t="str">
        <f>VLOOKUP(C861,SintéticoNC!$F$4:$G$83,2,FALSE)</f>
        <v>Flavia Arruda</v>
      </c>
      <c r="C861" s="42" t="s">
        <v>65</v>
      </c>
      <c r="D861" s="23" t="s">
        <v>153</v>
      </c>
      <c r="E861" s="43" t="s">
        <v>16</v>
      </c>
      <c r="F861" s="50"/>
      <c r="G861" s="50">
        <f>I785*ÍndiceCorreçãoNC!$C$15</f>
        <v>0</v>
      </c>
      <c r="H861" s="50">
        <f t="shared" si="39"/>
        <v>0</v>
      </c>
      <c r="I861" s="50">
        <f t="shared" si="40"/>
        <v>887563.63045465504</v>
      </c>
      <c r="J861" s="106" t="str">
        <f t="shared" si="41"/>
        <v/>
      </c>
      <c r="K861" s="105"/>
    </row>
    <row r="862" spans="2:11" ht="12.95" customHeight="1" x14ac:dyDescent="0.25">
      <c r="B862" s="45" t="str">
        <f>VLOOKUP(C862,SintéticoNC!$F$4:$G$83,2,FALSE)</f>
        <v>Flaviano Melo</v>
      </c>
      <c r="C862" s="42" t="s">
        <v>68</v>
      </c>
      <c r="D862" s="23" t="s">
        <v>153</v>
      </c>
      <c r="E862" s="43" t="s">
        <v>16</v>
      </c>
      <c r="F862" s="50"/>
      <c r="G862" s="50">
        <f>I786*ÍndiceCorreçãoNC!$C$15</f>
        <v>0</v>
      </c>
      <c r="H862" s="50">
        <f t="shared" si="39"/>
        <v>0</v>
      </c>
      <c r="I862" s="50">
        <f t="shared" si="40"/>
        <v>506301.91106029582</v>
      </c>
      <c r="J862" s="106" t="str">
        <f t="shared" si="41"/>
        <v/>
      </c>
      <c r="K862" s="105"/>
    </row>
    <row r="863" spans="2:11" ht="12.95" customHeight="1" x14ac:dyDescent="0.25">
      <c r="B863" s="45" t="str">
        <f>VLOOKUP(C863,SintéticoNC!$F$4:$G$83,2,FALSE)</f>
        <v>General Girão</v>
      </c>
      <c r="C863" s="42" t="s">
        <v>71</v>
      </c>
      <c r="D863" s="23" t="s">
        <v>153</v>
      </c>
      <c r="E863" s="43" t="s">
        <v>16</v>
      </c>
      <c r="F863" s="50"/>
      <c r="G863" s="50">
        <f>I787*ÍndiceCorreçãoNC!$C$15</f>
        <v>0</v>
      </c>
      <c r="H863" s="50">
        <f t="shared" si="39"/>
        <v>0</v>
      </c>
      <c r="I863" s="50">
        <f t="shared" si="40"/>
        <v>208443.36752999999</v>
      </c>
      <c r="J863" s="106" t="str">
        <f t="shared" si="41"/>
        <v/>
      </c>
      <c r="K863" s="105"/>
    </row>
    <row r="864" spans="2:11" ht="12.95" customHeight="1" x14ac:dyDescent="0.25">
      <c r="B864" s="45" t="str">
        <f>VLOOKUP(C864,SintéticoNC!$F$4:$G$83,2,FALSE)</f>
        <v>João Roma</v>
      </c>
      <c r="C864" s="42" t="s">
        <v>74</v>
      </c>
      <c r="D864" s="23" t="s">
        <v>153</v>
      </c>
      <c r="E864" s="43" t="s">
        <v>16</v>
      </c>
      <c r="F864" s="50"/>
      <c r="G864" s="50">
        <f>I788*ÍndiceCorreçãoNC!$C$15</f>
        <v>0</v>
      </c>
      <c r="H864" s="50">
        <f t="shared" si="39"/>
        <v>0</v>
      </c>
      <c r="I864" s="50">
        <f t="shared" si="40"/>
        <v>72671.020983889903</v>
      </c>
      <c r="J864" s="106" t="str">
        <f t="shared" si="41"/>
        <v/>
      </c>
      <c r="K864" s="105"/>
    </row>
    <row r="865" spans="2:11" ht="12.95" customHeight="1" x14ac:dyDescent="0.25">
      <c r="B865" s="45" t="str">
        <f>VLOOKUP(C865,SintéticoNC!$F$4:$G$83,2,FALSE)</f>
        <v>Joenia Wapichana</v>
      </c>
      <c r="C865" s="42" t="s">
        <v>77</v>
      </c>
      <c r="D865" s="23" t="s">
        <v>153</v>
      </c>
      <c r="E865" s="43" t="s">
        <v>16</v>
      </c>
      <c r="F865" s="50"/>
      <c r="G865" s="50">
        <f>I789*ÍndiceCorreçãoNC!$C$15</f>
        <v>0</v>
      </c>
      <c r="H865" s="50">
        <f t="shared" si="39"/>
        <v>0</v>
      </c>
      <c r="I865" s="50">
        <f t="shared" si="40"/>
        <v>9161.8613719917994</v>
      </c>
      <c r="J865" s="106" t="str">
        <f t="shared" si="41"/>
        <v/>
      </c>
      <c r="K865" s="105"/>
    </row>
    <row r="866" spans="2:11" ht="12.95" customHeight="1" x14ac:dyDescent="0.25">
      <c r="B866" s="45" t="str">
        <f>VLOOKUP(C866,SintéticoNC!$F$4:$G$83,2,FALSE)</f>
        <v>José Nunes</v>
      </c>
      <c r="C866" s="42" t="s">
        <v>80</v>
      </c>
      <c r="D866" s="23" t="s">
        <v>153</v>
      </c>
      <c r="E866" s="43" t="s">
        <v>16</v>
      </c>
      <c r="F866" s="50"/>
      <c r="G866" s="50">
        <f>I790*ÍndiceCorreçãoNC!$C$15</f>
        <v>0</v>
      </c>
      <c r="H866" s="50">
        <f t="shared" si="39"/>
        <v>0</v>
      </c>
      <c r="I866" s="50">
        <f t="shared" si="40"/>
        <v>208443.36752999999</v>
      </c>
      <c r="J866" s="106" t="str">
        <f t="shared" si="41"/>
        <v/>
      </c>
      <c r="K866" s="105"/>
    </row>
    <row r="867" spans="2:11" ht="12.95" customHeight="1" x14ac:dyDescent="0.25">
      <c r="B867" s="45" t="str">
        <f>VLOOKUP(C867,SintéticoNC!$F$4:$G$83,2,FALSE)</f>
        <v>Josivaldo JP</v>
      </c>
      <c r="C867" s="42" t="s">
        <v>83</v>
      </c>
      <c r="D867" s="23" t="s">
        <v>153</v>
      </c>
      <c r="E867" s="43" t="s">
        <v>16</v>
      </c>
      <c r="F867" s="50"/>
      <c r="G867" s="50">
        <f>I791*ÍndiceCorreçãoNC!$C$15</f>
        <v>0</v>
      </c>
      <c r="H867" s="50">
        <f t="shared" si="39"/>
        <v>0</v>
      </c>
      <c r="I867" s="50">
        <f t="shared" si="40"/>
        <v>102711.22457999999</v>
      </c>
      <c r="J867" s="106" t="str">
        <f t="shared" si="41"/>
        <v/>
      </c>
      <c r="K867" s="105"/>
    </row>
    <row r="868" spans="2:11" ht="12.95" customHeight="1" x14ac:dyDescent="0.25">
      <c r="B868" s="45" t="str">
        <f>VLOOKUP(C868,SintéticoNC!$F$4:$G$83,2,FALSE)</f>
        <v>Junior Lourenço</v>
      </c>
      <c r="C868" s="42" t="s">
        <v>86</v>
      </c>
      <c r="D868" s="23" t="s">
        <v>153</v>
      </c>
      <c r="E868" s="43" t="s">
        <v>16</v>
      </c>
      <c r="F868" s="50"/>
      <c r="G868" s="50">
        <f>I792*ÍndiceCorreçãoNC!$C$15</f>
        <v>0</v>
      </c>
      <c r="H868" s="50">
        <f t="shared" si="39"/>
        <v>0</v>
      </c>
      <c r="I868" s="50">
        <f t="shared" si="40"/>
        <v>347405.61255000002</v>
      </c>
      <c r="J868" s="106" t="str">
        <f t="shared" si="41"/>
        <v/>
      </c>
      <c r="K868" s="105"/>
    </row>
    <row r="869" spans="2:11" ht="12.95" customHeight="1" x14ac:dyDescent="0.25">
      <c r="B869" s="45" t="str">
        <f>VLOOKUP(C869,SintéticoNC!$F$4:$G$83,2,FALSE)</f>
        <v>Leo de Brito</v>
      </c>
      <c r="C869" s="42" t="s">
        <v>89</v>
      </c>
      <c r="D869" s="23" t="s">
        <v>153</v>
      </c>
      <c r="E869" s="43" t="s">
        <v>16</v>
      </c>
      <c r="F869" s="50"/>
      <c r="G869" s="50">
        <f>I793*ÍndiceCorreçãoNC!$C$15</f>
        <v>0</v>
      </c>
      <c r="H869" s="50">
        <f t="shared" si="39"/>
        <v>0</v>
      </c>
      <c r="I869" s="50">
        <f t="shared" si="40"/>
        <v>432998.29969999997</v>
      </c>
      <c r="J869" s="106" t="str">
        <f t="shared" si="41"/>
        <v/>
      </c>
      <c r="K869" s="105"/>
    </row>
    <row r="870" spans="2:11" ht="12.95" customHeight="1" x14ac:dyDescent="0.25">
      <c r="B870" s="45" t="str">
        <f>VLOOKUP(C870,SintéticoNC!$F$4:$G$83,2,FALSE)</f>
        <v>Leur Lomanto</v>
      </c>
      <c r="C870" s="42" t="s">
        <v>92</v>
      </c>
      <c r="D870" s="23" t="s">
        <v>153</v>
      </c>
      <c r="E870" s="43" t="s">
        <v>16</v>
      </c>
      <c r="F870" s="50"/>
      <c r="G870" s="50">
        <f>I794*ÍndiceCorreçãoNC!$C$15</f>
        <v>0</v>
      </c>
      <c r="H870" s="50">
        <f t="shared" si="39"/>
        <v>0</v>
      </c>
      <c r="I870" s="50">
        <f t="shared" si="40"/>
        <v>66563.217456416998</v>
      </c>
      <c r="J870" s="106" t="str">
        <f t="shared" si="41"/>
        <v/>
      </c>
      <c r="K870" s="105"/>
    </row>
    <row r="871" spans="2:11" ht="12.95" customHeight="1" x14ac:dyDescent="0.25">
      <c r="B871" s="45" t="str">
        <f>VLOOKUP(C871,SintéticoNC!$F$4:$G$83,2,FALSE)</f>
        <v>Luciano Bivar</v>
      </c>
      <c r="C871" s="42" t="s">
        <v>95</v>
      </c>
      <c r="D871" s="23" t="s">
        <v>153</v>
      </c>
      <c r="E871" s="43" t="s">
        <v>16</v>
      </c>
      <c r="F871" s="50"/>
      <c r="G871" s="50">
        <f>I795*ÍndiceCorreçãoNC!$C$15</f>
        <v>0</v>
      </c>
      <c r="H871" s="50">
        <f t="shared" si="39"/>
        <v>0</v>
      </c>
      <c r="I871" s="50">
        <f t="shared" si="40"/>
        <v>2492.2979341616001</v>
      </c>
      <c r="J871" s="106" t="str">
        <f t="shared" si="41"/>
        <v/>
      </c>
      <c r="K871" s="105"/>
    </row>
    <row r="872" spans="2:11" ht="12.95" customHeight="1" x14ac:dyDescent="0.25">
      <c r="B872" s="45" t="str">
        <f>VLOOKUP(C872,SintéticoNC!$F$4:$G$83,2,FALSE)</f>
        <v>Luis Tibé</v>
      </c>
      <c r="C872" s="42" t="s">
        <v>98</v>
      </c>
      <c r="D872" s="23" t="s">
        <v>153</v>
      </c>
      <c r="E872" s="43" t="s">
        <v>16</v>
      </c>
      <c r="F872" s="50"/>
      <c r="G872" s="50">
        <f>I796*ÍndiceCorreçãoNC!$C$15</f>
        <v>0</v>
      </c>
      <c r="H872" s="50">
        <f t="shared" si="39"/>
        <v>0</v>
      </c>
      <c r="I872" s="50">
        <f t="shared" si="40"/>
        <v>208443.36752999999</v>
      </c>
      <c r="J872" s="106" t="str">
        <f t="shared" si="41"/>
        <v/>
      </c>
      <c r="K872" s="105"/>
    </row>
    <row r="873" spans="2:11" ht="12.95" customHeight="1" x14ac:dyDescent="0.25">
      <c r="B873" s="45" t="str">
        <f>VLOOKUP(C873,SintéticoNC!$F$4:$G$83,2,FALSE)</f>
        <v>Mara Rocha</v>
      </c>
      <c r="C873" s="42" t="s">
        <v>101</v>
      </c>
      <c r="D873" s="23" t="s">
        <v>153</v>
      </c>
      <c r="E873" s="43" t="s">
        <v>16</v>
      </c>
      <c r="F873" s="50"/>
      <c r="G873" s="50">
        <f>I797*ÍndiceCorreçãoNC!$C$15</f>
        <v>0</v>
      </c>
      <c r="H873" s="50">
        <f t="shared" si="39"/>
        <v>0</v>
      </c>
      <c r="I873" s="50">
        <f t="shared" si="40"/>
        <v>411222.61381352897</v>
      </c>
      <c r="J873" s="106" t="str">
        <f t="shared" si="41"/>
        <v/>
      </c>
      <c r="K873" s="105"/>
    </row>
    <row r="874" spans="2:11" ht="12.95" customHeight="1" x14ac:dyDescent="0.25">
      <c r="B874" s="45" t="str">
        <f>VLOOKUP(C874,SintéticoNC!$F$4:$G$83,2,FALSE)</f>
        <v>Marx Beltrão</v>
      </c>
      <c r="C874" s="42" t="s">
        <v>104</v>
      </c>
      <c r="D874" s="23" t="s">
        <v>153</v>
      </c>
      <c r="E874" s="43" t="s">
        <v>16</v>
      </c>
      <c r="F874" s="50"/>
      <c r="G874" s="50">
        <f>I798*ÍndiceCorreçãoNC!$C$15</f>
        <v>0</v>
      </c>
      <c r="H874" s="50">
        <f t="shared" si="39"/>
        <v>0</v>
      </c>
      <c r="I874" s="50">
        <f t="shared" si="40"/>
        <v>208443.36752999999</v>
      </c>
      <c r="J874" s="106" t="str">
        <f t="shared" si="41"/>
        <v/>
      </c>
      <c r="K874" s="105"/>
    </row>
    <row r="875" spans="2:11" ht="12.95" customHeight="1" x14ac:dyDescent="0.25">
      <c r="B875" s="45" t="str">
        <f>VLOOKUP(C875,SintéticoNC!$F$4:$G$83,2,FALSE)</f>
        <v>Ministério das Comunicações</v>
      </c>
      <c r="C875" s="42" t="s">
        <v>107</v>
      </c>
      <c r="D875" s="23" t="s">
        <v>153</v>
      </c>
      <c r="E875" s="43" t="s">
        <v>16</v>
      </c>
      <c r="F875" s="50"/>
      <c r="G875" s="50">
        <f>I799*ÍndiceCorreçãoNC!$C$15</f>
        <v>0</v>
      </c>
      <c r="H875" s="50">
        <f t="shared" si="39"/>
        <v>0</v>
      </c>
      <c r="I875" s="50">
        <f t="shared" si="40"/>
        <v>15499755.251688881</v>
      </c>
      <c r="J875" s="106" t="str">
        <f t="shared" si="41"/>
        <v/>
      </c>
      <c r="K875" s="105"/>
    </row>
    <row r="876" spans="2:11" ht="12.95" customHeight="1" x14ac:dyDescent="0.25">
      <c r="B876" s="45" t="str">
        <f>VLOOKUP(C876,SintéticoNC!$F$4:$G$83,2,FALSE)</f>
        <v>Ministério das Comunicações</v>
      </c>
      <c r="C876" s="42" t="s">
        <v>109</v>
      </c>
      <c r="D876" s="23" t="s">
        <v>153</v>
      </c>
      <c r="E876" s="43" t="s">
        <v>16</v>
      </c>
      <c r="F876" s="50"/>
      <c r="G876" s="50">
        <f>I800*ÍndiceCorreçãoNC!$C$15</f>
        <v>0</v>
      </c>
      <c r="H876" s="50">
        <f t="shared" si="39"/>
        <v>0</v>
      </c>
      <c r="I876" s="50">
        <f t="shared" si="40"/>
        <v>3713715.64952</v>
      </c>
      <c r="J876" s="106" t="str">
        <f t="shared" si="41"/>
        <v/>
      </c>
      <c r="K876" s="105"/>
    </row>
    <row r="877" spans="2:11" ht="12.95" customHeight="1" x14ac:dyDescent="0.25">
      <c r="B877" s="45" t="str">
        <f>VLOOKUP(C877,SintéticoNC!$F$4:$G$83,2,FALSE)</f>
        <v>Ministério das Comunicações</v>
      </c>
      <c r="C877" s="42" t="s">
        <v>111</v>
      </c>
      <c r="D877" s="23" t="s">
        <v>153</v>
      </c>
      <c r="E877" s="43" t="s">
        <v>16</v>
      </c>
      <c r="F877" s="50"/>
      <c r="G877" s="50">
        <f>I801*ÍndiceCorreçãoNC!$C$15</f>
        <v>0</v>
      </c>
      <c r="H877" s="50">
        <f t="shared" si="39"/>
        <v>0</v>
      </c>
      <c r="I877" s="50">
        <f t="shared" si="40"/>
        <v>10069727.9</v>
      </c>
      <c r="J877" s="106" t="str">
        <f t="shared" si="41"/>
        <v/>
      </c>
      <c r="K877" s="105"/>
    </row>
    <row r="878" spans="2:11" ht="12.95" customHeight="1" x14ac:dyDescent="0.25">
      <c r="B878" s="45" t="str">
        <f>VLOOKUP(C878,SintéticoNC!$F$4:$G$83,2,FALSE)</f>
        <v>Ministério da Educação</v>
      </c>
      <c r="C878" s="42" t="s">
        <v>114</v>
      </c>
      <c r="D878" s="23" t="s">
        <v>153</v>
      </c>
      <c r="E878" s="43" t="s">
        <v>16</v>
      </c>
      <c r="F878" s="50"/>
      <c r="G878" s="50">
        <f>I802*ÍndiceCorreçãoNC!$C$15</f>
        <v>0</v>
      </c>
      <c r="H878" s="50">
        <f t="shared" si="39"/>
        <v>0</v>
      </c>
      <c r="I878" s="50">
        <f t="shared" si="40"/>
        <v>16980781.538382418</v>
      </c>
      <c r="J878" s="106" t="str">
        <f t="shared" si="41"/>
        <v/>
      </c>
      <c r="K878" s="105"/>
    </row>
    <row r="879" spans="2:11" ht="12.95" customHeight="1" x14ac:dyDescent="0.25">
      <c r="B879" s="45" t="str">
        <f>VLOOKUP(C879,SintéticoNC!$F$4:$G$83,2,FALSE)</f>
        <v>Ministério da Educação</v>
      </c>
      <c r="C879" s="42" t="s">
        <v>116</v>
      </c>
      <c r="D879" s="23" t="s">
        <v>153</v>
      </c>
      <c r="E879" s="43" t="s">
        <v>16</v>
      </c>
      <c r="F879" s="50"/>
      <c r="G879" s="50">
        <f>I803*ÍndiceCorreçãoNC!$C$15</f>
        <v>0</v>
      </c>
      <c r="H879" s="50">
        <f t="shared" si="39"/>
        <v>0</v>
      </c>
      <c r="I879" s="50">
        <f t="shared" si="40"/>
        <v>3706666.8399899998</v>
      </c>
      <c r="J879" s="106" t="str">
        <f t="shared" si="41"/>
        <v/>
      </c>
      <c r="K879" s="105"/>
    </row>
    <row r="880" spans="2:11" ht="12.95" customHeight="1" x14ac:dyDescent="0.25">
      <c r="B880" s="45" t="str">
        <f>VLOOKUP(C880,SintéticoNC!$F$4:$G$83,2,FALSE)</f>
        <v>Ministério da Justiça</v>
      </c>
      <c r="C880" s="42" t="s">
        <v>119</v>
      </c>
      <c r="D880" s="23" t="s">
        <v>153</v>
      </c>
      <c r="E880" s="43" t="s">
        <v>16</v>
      </c>
      <c r="F880" s="50"/>
      <c r="G880" s="50">
        <f>I804*ÍndiceCorreçãoNC!$C$15</f>
        <v>0</v>
      </c>
      <c r="H880" s="50">
        <f t="shared" si="39"/>
        <v>0</v>
      </c>
      <c r="I880" s="50">
        <f t="shared" si="40"/>
        <v>630294.98193109501</v>
      </c>
      <c r="J880" s="106" t="str">
        <f t="shared" si="41"/>
        <v/>
      </c>
      <c r="K880" s="105"/>
    </row>
    <row r="881" spans="2:11" ht="12.95" customHeight="1" x14ac:dyDescent="0.25">
      <c r="B881" s="45" t="str">
        <f>VLOOKUP(C881,SintéticoNC!$F$4:$G$83,2,FALSE)</f>
        <v>Ministério do Meio Ambiente</v>
      </c>
      <c r="C881" s="42" t="s">
        <v>122</v>
      </c>
      <c r="D881" s="23" t="s">
        <v>153</v>
      </c>
      <c r="E881" s="43" t="s">
        <v>16</v>
      </c>
      <c r="F881" s="50"/>
      <c r="G881" s="50">
        <f>I805*ÍndiceCorreçãoNC!$C$15</f>
        <v>0</v>
      </c>
      <c r="H881" s="50">
        <f t="shared" si="39"/>
        <v>0</v>
      </c>
      <c r="I881" s="50">
        <f t="shared" si="40"/>
        <v>108551.66676199999</v>
      </c>
      <c r="J881" s="106" t="str">
        <f t="shared" si="41"/>
        <v/>
      </c>
      <c r="K881" s="105"/>
    </row>
    <row r="882" spans="2:11" ht="12.95" customHeight="1" x14ac:dyDescent="0.25">
      <c r="B882" s="45" t="str">
        <f>VLOOKUP(C882,SintéticoNC!$F$4:$G$83,2,FALSE)</f>
        <v>Perpétua Almeida</v>
      </c>
      <c r="C882" s="42" t="s">
        <v>125</v>
      </c>
      <c r="D882" s="23" t="s">
        <v>153</v>
      </c>
      <c r="E882" s="43" t="s">
        <v>16</v>
      </c>
      <c r="F882" s="50"/>
      <c r="G882" s="50">
        <f>I806*ÍndiceCorreçãoNC!$C$15</f>
        <v>0</v>
      </c>
      <c r="H882" s="50">
        <f t="shared" si="39"/>
        <v>0</v>
      </c>
      <c r="I882" s="50">
        <f t="shared" si="40"/>
        <v>416886.73505999998</v>
      </c>
      <c r="J882" s="106" t="str">
        <f t="shared" si="41"/>
        <v/>
      </c>
      <c r="K882" s="105"/>
    </row>
    <row r="883" spans="2:11" ht="12.95" customHeight="1" x14ac:dyDescent="0.25">
      <c r="B883" s="45" t="str">
        <f>VLOOKUP(C883,SintéticoNC!$F$4:$G$83,2,FALSE)</f>
        <v>PRF RO</v>
      </c>
      <c r="C883" s="42" t="s">
        <v>128</v>
      </c>
      <c r="D883" s="23" t="s">
        <v>153</v>
      </c>
      <c r="E883" s="43" t="s">
        <v>16</v>
      </c>
      <c r="F883" s="50"/>
      <c r="G883" s="50">
        <f>I807*ÍndiceCorreçãoNC!$C$15</f>
        <v>0</v>
      </c>
      <c r="H883" s="50">
        <f t="shared" si="39"/>
        <v>0</v>
      </c>
      <c r="I883" s="50">
        <f t="shared" si="40"/>
        <v>46723.537455999998</v>
      </c>
      <c r="J883" s="106" t="str">
        <f t="shared" si="41"/>
        <v/>
      </c>
      <c r="K883" s="105"/>
    </row>
    <row r="884" spans="2:11" ht="12.95" customHeight="1" x14ac:dyDescent="0.25">
      <c r="B884" s="45" t="str">
        <f>VLOOKUP(C884,SintéticoNC!$F$4:$G$83,2,FALSE)</f>
        <v>Senador Confúcio Moura</v>
      </c>
      <c r="C884" s="42" t="s">
        <v>131</v>
      </c>
      <c r="D884" s="23" t="s">
        <v>153</v>
      </c>
      <c r="E884" s="43" t="s">
        <v>16</v>
      </c>
      <c r="F884" s="50"/>
      <c r="G884" s="50">
        <f>I808*ÍndiceCorreçãoNC!$C$15</f>
        <v>0</v>
      </c>
      <c r="H884" s="50">
        <f t="shared" si="39"/>
        <v>0</v>
      </c>
      <c r="I884" s="50">
        <f t="shared" si="40"/>
        <v>345423.16507887124</v>
      </c>
      <c r="J884" s="106" t="str">
        <f t="shared" si="41"/>
        <v/>
      </c>
      <c r="K884" s="105"/>
    </row>
    <row r="885" spans="2:11" ht="12.95" customHeight="1" x14ac:dyDescent="0.25">
      <c r="B885" s="45" t="str">
        <f>VLOOKUP(C885,SintéticoNC!$F$4:$G$83,2,FALSE)</f>
        <v>Sérgio Petecão</v>
      </c>
      <c r="C885" s="42" t="s">
        <v>134</v>
      </c>
      <c r="D885" s="23" t="s">
        <v>153</v>
      </c>
      <c r="E885" s="43" t="s">
        <v>16</v>
      </c>
      <c r="F885" s="50"/>
      <c r="G885" s="50">
        <f>I809*ÍndiceCorreçãoNC!$C$15</f>
        <v>0</v>
      </c>
      <c r="H885" s="50">
        <f t="shared" si="39"/>
        <v>0</v>
      </c>
      <c r="I885" s="50">
        <f t="shared" si="40"/>
        <v>286973.14753094001</v>
      </c>
      <c r="J885" s="106" t="str">
        <f t="shared" si="41"/>
        <v/>
      </c>
      <c r="K885" s="105"/>
    </row>
    <row r="886" spans="2:11" ht="12.95" customHeight="1" x14ac:dyDescent="0.25">
      <c r="B886" s="45" t="str">
        <f>VLOOKUP(C886,SintéticoNC!$F$4:$G$83,2,FALSE)</f>
        <v>Soraya Thronicke</v>
      </c>
      <c r="C886" s="42" t="s">
        <v>137</v>
      </c>
      <c r="D886" s="23" t="s">
        <v>153</v>
      </c>
      <c r="E886" s="43" t="s">
        <v>16</v>
      </c>
      <c r="F886" s="50"/>
      <c r="G886" s="50">
        <f>I810*ÍndiceCorreçãoNC!$C$15</f>
        <v>0</v>
      </c>
      <c r="H886" s="50">
        <f t="shared" si="39"/>
        <v>0</v>
      </c>
      <c r="I886" s="50">
        <f t="shared" si="40"/>
        <v>347405.61255000002</v>
      </c>
      <c r="J886" s="106" t="str">
        <f t="shared" si="41"/>
        <v/>
      </c>
      <c r="K886" s="105"/>
    </row>
    <row r="887" spans="2:11" ht="12.95" customHeight="1" x14ac:dyDescent="0.25">
      <c r="B887" s="45" t="str">
        <f>VLOOKUP(C887,SintéticoNC!$F$4:$G$83,2,FALSE)</f>
        <v>Uldurico Junior</v>
      </c>
      <c r="C887" s="42" t="s">
        <v>140</v>
      </c>
      <c r="D887" s="23" t="s">
        <v>153</v>
      </c>
      <c r="E887" s="43" t="s">
        <v>16</v>
      </c>
      <c r="F887" s="50"/>
      <c r="G887" s="50">
        <f>I811*ÍndiceCorreçãoNC!$C$15</f>
        <v>0</v>
      </c>
      <c r="H887" s="50">
        <f t="shared" si="39"/>
        <v>0</v>
      </c>
      <c r="I887" s="50">
        <f t="shared" si="40"/>
        <v>311154.59211000003</v>
      </c>
      <c r="J887" s="106" t="str">
        <f t="shared" si="41"/>
        <v/>
      </c>
      <c r="K887" s="105"/>
    </row>
    <row r="888" spans="2:11" ht="12.95" customHeight="1" x14ac:dyDescent="0.25">
      <c r="B888" s="45" t="str">
        <f>VLOOKUP(C888,SintéticoNC!$F$4:$G$83,2,FALSE)</f>
        <v>Bancada de Alagoas</v>
      </c>
      <c r="C888" s="42" t="s">
        <v>156</v>
      </c>
      <c r="D888" s="23" t="s">
        <v>216</v>
      </c>
      <c r="E888" s="43" t="s">
        <v>16</v>
      </c>
      <c r="F888" s="50"/>
      <c r="G888" s="50">
        <f>I812*ÍndiceCorreçãoNC!$C$15</f>
        <v>0</v>
      </c>
      <c r="H888" s="50">
        <f t="shared" si="39"/>
        <v>0</v>
      </c>
      <c r="I888" s="50">
        <f t="shared" si="40"/>
        <v>612239.45632</v>
      </c>
      <c r="J888" s="106" t="str">
        <f t="shared" si="41"/>
        <v/>
      </c>
      <c r="K888" s="105"/>
    </row>
    <row r="889" spans="2:11" ht="12.95" customHeight="1" x14ac:dyDescent="0.25">
      <c r="B889" s="45" t="str">
        <f>VLOOKUP(C889,SintéticoNC!$F$4:$G$83,2,FALSE)</f>
        <v>Bancada de Alagoas</v>
      </c>
      <c r="C889" s="42" t="s">
        <v>158</v>
      </c>
      <c r="D889" s="23" t="s">
        <v>216</v>
      </c>
      <c r="E889" s="43" t="s">
        <v>16</v>
      </c>
      <c r="F889" s="50"/>
      <c r="G889" s="50">
        <f>I813*ÍndiceCorreçãoNC!$C$15</f>
        <v>0</v>
      </c>
      <c r="H889" s="50">
        <f t="shared" si="39"/>
        <v>0</v>
      </c>
      <c r="I889" s="50">
        <f t="shared" si="40"/>
        <v>176220.23824999999</v>
      </c>
      <c r="J889" s="106" t="str">
        <f t="shared" si="41"/>
        <v/>
      </c>
      <c r="K889" s="105"/>
    </row>
    <row r="890" spans="2:11" ht="12.95" customHeight="1" x14ac:dyDescent="0.25">
      <c r="B890" s="45" t="str">
        <f>VLOOKUP(C890,SintéticoNC!$F$4:$G$83,2,FALSE)</f>
        <v>Bancada de Alagoas</v>
      </c>
      <c r="C890" s="42" t="s">
        <v>160</v>
      </c>
      <c r="D890" s="23" t="s">
        <v>216</v>
      </c>
      <c r="E890" s="43" t="s">
        <v>16</v>
      </c>
      <c r="F890" s="50"/>
      <c r="G890" s="50">
        <f>I814*ÍndiceCorreçãoNC!$C$15</f>
        <v>0</v>
      </c>
      <c r="H890" s="50">
        <f t="shared" si="39"/>
        <v>0</v>
      </c>
      <c r="I890" s="50">
        <f t="shared" si="40"/>
        <v>755229.59250000003</v>
      </c>
      <c r="J890" s="106" t="str">
        <f t="shared" si="41"/>
        <v/>
      </c>
      <c r="K890" s="105"/>
    </row>
    <row r="891" spans="2:11" ht="12.95" customHeight="1" x14ac:dyDescent="0.25">
      <c r="B891" s="45" t="str">
        <f>VLOOKUP(C891,SintéticoNC!$F$4:$G$83,2,FALSE)</f>
        <v>Bancada de Minas Gerais</v>
      </c>
      <c r="C891" s="42" t="s">
        <v>162</v>
      </c>
      <c r="D891" s="23" t="s">
        <v>216</v>
      </c>
      <c r="E891" s="43" t="s">
        <v>16</v>
      </c>
      <c r="F891" s="50"/>
      <c r="G891" s="50">
        <f>I815*ÍndiceCorreçãoNC!$C$15</f>
        <v>0</v>
      </c>
      <c r="H891" s="50">
        <f t="shared" si="39"/>
        <v>0</v>
      </c>
      <c r="I891" s="50">
        <f t="shared" si="40"/>
        <v>5236258.5080000004</v>
      </c>
      <c r="J891" s="106" t="str">
        <f t="shared" si="41"/>
        <v/>
      </c>
      <c r="K891" s="105"/>
    </row>
    <row r="892" spans="2:11" ht="12.95" customHeight="1" x14ac:dyDescent="0.25">
      <c r="B892" s="45" t="str">
        <f>VLOOKUP(C892,SintéticoNC!$F$4:$G$83,2,FALSE)</f>
        <v>Bancada de São Paulo</v>
      </c>
      <c r="C892" s="42" t="s">
        <v>164</v>
      </c>
      <c r="D892" s="23" t="s">
        <v>216</v>
      </c>
      <c r="E892" s="43" t="s">
        <v>16</v>
      </c>
      <c r="F892" s="50"/>
      <c r="G892" s="50">
        <f>I816*ÍndiceCorreçãoNC!$C$15</f>
        <v>0</v>
      </c>
      <c r="H892" s="50">
        <f t="shared" si="39"/>
        <v>0</v>
      </c>
      <c r="I892" s="50">
        <f t="shared" si="40"/>
        <v>700128.04143119999</v>
      </c>
      <c r="J892" s="106" t="str">
        <f t="shared" si="41"/>
        <v/>
      </c>
      <c r="K892" s="105"/>
    </row>
    <row r="893" spans="2:11" ht="12.95" customHeight="1" x14ac:dyDescent="0.25">
      <c r="B893" s="45" t="str">
        <f>VLOOKUP(C893,SintéticoNC!$F$4:$G$83,2,FALSE)</f>
        <v>Bancada do Espírito Santo</v>
      </c>
      <c r="C893" s="42" t="s">
        <v>166</v>
      </c>
      <c r="D893" s="23" t="s">
        <v>216</v>
      </c>
      <c r="E893" s="43" t="s">
        <v>16</v>
      </c>
      <c r="F893" s="50"/>
      <c r="G893" s="50">
        <f>I817*ÍndiceCorreçãoNC!$C$15</f>
        <v>0</v>
      </c>
      <c r="H893" s="50">
        <f t="shared" si="39"/>
        <v>0</v>
      </c>
      <c r="I893" s="50">
        <f t="shared" si="40"/>
        <v>788459.69457000005</v>
      </c>
      <c r="J893" s="106" t="str">
        <f t="shared" si="41"/>
        <v/>
      </c>
      <c r="K893" s="105"/>
    </row>
    <row r="894" spans="2:11" ht="12.95" customHeight="1" x14ac:dyDescent="0.25">
      <c r="B894" s="45" t="str">
        <f>VLOOKUP(C894,SintéticoNC!$F$4:$G$83,2,FALSE)</f>
        <v>Bancada do Espírito Santo</v>
      </c>
      <c r="C894" s="42" t="s">
        <v>168</v>
      </c>
      <c r="D894" s="23" t="s">
        <v>216</v>
      </c>
      <c r="E894" s="43" t="s">
        <v>16</v>
      </c>
      <c r="F894" s="50"/>
      <c r="G894" s="50">
        <f>I818*ÍndiceCorreçãoNC!$C$15</f>
        <v>0</v>
      </c>
      <c r="H894" s="50">
        <f t="shared" si="39"/>
        <v>0</v>
      </c>
      <c r="I894" s="50">
        <f t="shared" si="40"/>
        <v>846012.20733993209</v>
      </c>
      <c r="J894" s="106" t="str">
        <f t="shared" si="41"/>
        <v/>
      </c>
      <c r="K894" s="105"/>
    </row>
    <row r="895" spans="2:11" ht="12.95" customHeight="1" x14ac:dyDescent="0.25">
      <c r="B895" s="45" t="str">
        <f>VLOOKUP(C895,SintéticoNC!$F$4:$G$83,2,FALSE)</f>
        <v>Bancada do Pará</v>
      </c>
      <c r="C895" s="42" t="s">
        <v>170</v>
      </c>
      <c r="D895" s="23" t="s">
        <v>216</v>
      </c>
      <c r="E895" s="43" t="s">
        <v>16</v>
      </c>
      <c r="F895" s="50"/>
      <c r="G895" s="50">
        <f>I819*ÍndiceCorreçãoNC!$C$15</f>
        <v>0</v>
      </c>
      <c r="H895" s="50">
        <f t="shared" si="39"/>
        <v>0</v>
      </c>
      <c r="I895" s="50">
        <f t="shared" si="40"/>
        <v>185282.99335999999</v>
      </c>
      <c r="J895" s="106" t="str">
        <f t="shared" si="41"/>
        <v/>
      </c>
      <c r="K895" s="105"/>
    </row>
    <row r="896" spans="2:11" ht="12.95" customHeight="1" x14ac:dyDescent="0.25">
      <c r="B896" s="45" t="str">
        <f>VLOOKUP(C896,SintéticoNC!$F$4:$G$83,2,FALSE)</f>
        <v>Bancada do Pará</v>
      </c>
      <c r="C896" s="42" t="s">
        <v>172</v>
      </c>
      <c r="D896" s="23" t="s">
        <v>216</v>
      </c>
      <c r="E896" s="43" t="s">
        <v>16</v>
      </c>
      <c r="F896" s="50"/>
      <c r="G896" s="50">
        <f>I820*ÍndiceCorreçãoNC!$C$15</f>
        <v>0</v>
      </c>
      <c r="H896" s="50">
        <f t="shared" si="39"/>
        <v>0</v>
      </c>
      <c r="I896" s="50">
        <f t="shared" si="40"/>
        <v>314598.4390518</v>
      </c>
      <c r="J896" s="106" t="str">
        <f t="shared" si="41"/>
        <v/>
      </c>
      <c r="K896" s="105"/>
    </row>
    <row r="897" spans="2:11" ht="12.95" customHeight="1" x14ac:dyDescent="0.25">
      <c r="B897" s="45" t="str">
        <f>VLOOKUP(C897,SintéticoNC!$F$4:$G$83,2,FALSE)</f>
        <v>Coronel Chrisóstomo</v>
      </c>
      <c r="C897" s="42" t="s">
        <v>174</v>
      </c>
      <c r="D897" s="23" t="s">
        <v>216</v>
      </c>
      <c r="E897" s="43" t="s">
        <v>16</v>
      </c>
      <c r="F897" s="50"/>
      <c r="G897" s="50">
        <f>I821*ÍndiceCorreçãoNC!$C$15</f>
        <v>0</v>
      </c>
      <c r="H897" s="50">
        <f t="shared" si="39"/>
        <v>0</v>
      </c>
      <c r="I897" s="50">
        <f t="shared" si="40"/>
        <v>61928.826585000003</v>
      </c>
      <c r="J897" s="106" t="str">
        <f t="shared" si="41"/>
        <v/>
      </c>
      <c r="K897" s="105"/>
    </row>
    <row r="898" spans="2:11" ht="12.95" customHeight="1" x14ac:dyDescent="0.25">
      <c r="B898" s="45" t="str">
        <f>VLOOKUP(C898,SintéticoNC!$F$4:$G$83,2,FALSE)</f>
        <v>Dimas Fabiano</v>
      </c>
      <c r="C898" s="42" t="s">
        <v>176</v>
      </c>
      <c r="D898" s="23" t="s">
        <v>216</v>
      </c>
      <c r="E898" s="43" t="s">
        <v>16</v>
      </c>
      <c r="F898" s="50"/>
      <c r="G898" s="50">
        <f>I822*ÍndiceCorreçãoNC!$C$15</f>
        <v>0</v>
      </c>
      <c r="H898" s="50">
        <f t="shared" si="39"/>
        <v>0</v>
      </c>
      <c r="I898" s="50">
        <f t="shared" si="40"/>
        <v>93648.469469999996</v>
      </c>
      <c r="J898" s="106" t="str">
        <f t="shared" si="41"/>
        <v/>
      </c>
      <c r="K898" s="105"/>
    </row>
    <row r="899" spans="2:11" ht="12.95" customHeight="1" x14ac:dyDescent="0.25">
      <c r="B899" s="45" t="str">
        <f>VLOOKUP(C899,SintéticoNC!$F$4:$G$83,2,FALSE)</f>
        <v>Edna Henrique</v>
      </c>
      <c r="C899" s="42" t="s">
        <v>178</v>
      </c>
      <c r="D899" s="23" t="s">
        <v>216</v>
      </c>
      <c r="E899" s="43" t="s">
        <v>16</v>
      </c>
      <c r="F899" s="50"/>
      <c r="G899" s="50">
        <f>I823*ÍndiceCorreçãoNC!$C$15</f>
        <v>0</v>
      </c>
      <c r="H899" s="50">
        <f t="shared" si="39"/>
        <v>0</v>
      </c>
      <c r="I899" s="50">
        <f t="shared" si="40"/>
        <v>92641.496679999997</v>
      </c>
      <c r="J899" s="106" t="str">
        <f t="shared" si="41"/>
        <v/>
      </c>
      <c r="K899" s="105"/>
    </row>
    <row r="900" spans="2:11" ht="12.95" customHeight="1" x14ac:dyDescent="0.25">
      <c r="B900" s="45" t="str">
        <f>VLOOKUP(C900,SintéticoNC!$F$4:$G$83,2,FALSE)</f>
        <v>Fabio Reis</v>
      </c>
      <c r="C900" s="42" t="s">
        <v>180</v>
      </c>
      <c r="D900" s="23" t="s">
        <v>216</v>
      </c>
      <c r="E900" s="43" t="s">
        <v>16</v>
      </c>
      <c r="F900" s="50"/>
      <c r="G900" s="50">
        <f>I824*ÍndiceCorreçãoNC!$C$15</f>
        <v>0</v>
      </c>
      <c r="H900" s="50">
        <f t="shared" si="39"/>
        <v>0</v>
      </c>
      <c r="I900" s="50">
        <f t="shared" si="40"/>
        <v>42172.020445200003</v>
      </c>
      <c r="J900" s="106" t="str">
        <f t="shared" si="41"/>
        <v/>
      </c>
      <c r="K900" s="105"/>
    </row>
    <row r="901" spans="2:11" ht="12.95" customHeight="1" x14ac:dyDescent="0.25">
      <c r="B901" s="45" t="str">
        <f>VLOOKUP(C901,SintéticoNC!$F$4:$G$83,2,FALSE)</f>
        <v>Flavia Arruda</v>
      </c>
      <c r="C901" s="42" t="s">
        <v>182</v>
      </c>
      <c r="D901" s="23" t="s">
        <v>216</v>
      </c>
      <c r="E901" s="43" t="s">
        <v>16</v>
      </c>
      <c r="F901" s="50"/>
      <c r="G901" s="50">
        <f>I825*ÍndiceCorreçãoNC!$C$15</f>
        <v>0</v>
      </c>
      <c r="H901" s="50">
        <f t="shared" si="39"/>
        <v>0</v>
      </c>
      <c r="I901" s="50">
        <f t="shared" si="40"/>
        <v>371113.77991776</v>
      </c>
      <c r="J901" s="106" t="str">
        <f t="shared" si="41"/>
        <v/>
      </c>
      <c r="K901" s="105"/>
    </row>
    <row r="902" spans="2:11" ht="12.95" customHeight="1" x14ac:dyDescent="0.25">
      <c r="B902" s="45" t="str">
        <f>VLOOKUP(C902,SintéticoNC!$F$4:$G$83,2,FALSE)</f>
        <v>General Girão</v>
      </c>
      <c r="C902" s="42" t="s">
        <v>184</v>
      </c>
      <c r="D902" s="23" t="s">
        <v>216</v>
      </c>
      <c r="E902" s="43" t="s">
        <v>16</v>
      </c>
      <c r="F902" s="50"/>
      <c r="G902" s="50">
        <f>I826*ÍndiceCorreçãoNC!$C$15</f>
        <v>0</v>
      </c>
      <c r="H902" s="50">
        <f t="shared" si="39"/>
        <v>0</v>
      </c>
      <c r="I902" s="50">
        <f t="shared" si="40"/>
        <v>93648.469469999996</v>
      </c>
      <c r="J902" s="106" t="str">
        <f t="shared" si="41"/>
        <v/>
      </c>
      <c r="K902" s="105"/>
    </row>
    <row r="903" spans="2:11" ht="12.95" customHeight="1" x14ac:dyDescent="0.25">
      <c r="B903" s="45" t="str">
        <f>VLOOKUP(C903,SintéticoNC!$F$4:$G$83,2,FALSE)</f>
        <v>José Nunes</v>
      </c>
      <c r="C903" s="42" t="s">
        <v>186</v>
      </c>
      <c r="D903" s="23" t="s">
        <v>216</v>
      </c>
      <c r="E903" s="43" t="s">
        <v>16</v>
      </c>
      <c r="F903" s="50"/>
      <c r="G903" s="50">
        <f>I827*ÍndiceCorreçãoNC!$C$15</f>
        <v>0</v>
      </c>
      <c r="H903" s="50">
        <f t="shared" si="39"/>
        <v>0</v>
      </c>
      <c r="I903" s="50">
        <f t="shared" si="40"/>
        <v>93648.469469999996</v>
      </c>
      <c r="J903" s="106" t="str">
        <f t="shared" si="41"/>
        <v/>
      </c>
      <c r="K903" s="105"/>
    </row>
    <row r="904" spans="2:11" ht="12.95" customHeight="1" x14ac:dyDescent="0.25">
      <c r="B904" s="45" t="str">
        <f>VLOOKUP(C904,SintéticoNC!$F$4:$G$83,2,FALSE)</f>
        <v>Josivaldo JP</v>
      </c>
      <c r="C904" s="42" t="s">
        <v>188</v>
      </c>
      <c r="D904" s="23" t="s">
        <v>216</v>
      </c>
      <c r="E904" s="43" t="s">
        <v>16</v>
      </c>
      <c r="F904" s="50"/>
      <c r="G904" s="50">
        <f>I828*ÍndiceCorreçãoNC!$C$15</f>
        <v>0</v>
      </c>
      <c r="H904" s="50">
        <f t="shared" si="39"/>
        <v>0</v>
      </c>
      <c r="I904" s="50">
        <f t="shared" si="40"/>
        <v>48334.693919999998</v>
      </c>
      <c r="J904" s="106" t="str">
        <f t="shared" si="41"/>
        <v/>
      </c>
      <c r="K904" s="105"/>
    </row>
    <row r="905" spans="2:11" ht="12.95" customHeight="1" x14ac:dyDescent="0.25">
      <c r="B905" s="45" t="str">
        <f>VLOOKUP(C905,SintéticoNC!$F$4:$G$83,2,FALSE)</f>
        <v>Junior Lourenço</v>
      </c>
      <c r="C905" s="42" t="s">
        <v>190</v>
      </c>
      <c r="D905" s="23" t="s">
        <v>216</v>
      </c>
      <c r="E905" s="43" t="s">
        <v>16</v>
      </c>
      <c r="F905" s="50"/>
      <c r="G905" s="50">
        <f>I829*ÍndiceCorreçãoNC!$C$15</f>
        <v>0</v>
      </c>
      <c r="H905" s="50">
        <f t="shared" si="39"/>
        <v>0</v>
      </c>
      <c r="I905" s="50">
        <f t="shared" si="40"/>
        <v>156080.78245</v>
      </c>
      <c r="J905" s="106" t="str">
        <f t="shared" si="41"/>
        <v/>
      </c>
      <c r="K905" s="105"/>
    </row>
    <row r="906" spans="2:11" ht="12.95" customHeight="1" x14ac:dyDescent="0.25">
      <c r="B906" s="45" t="str">
        <f>VLOOKUP(C906,SintéticoNC!$F$4:$G$83,2,FALSE)</f>
        <v>Leo de Brito</v>
      </c>
      <c r="C906" s="42" t="s">
        <v>192</v>
      </c>
      <c r="D906" s="23" t="s">
        <v>216</v>
      </c>
      <c r="E906" s="43" t="s">
        <v>16</v>
      </c>
      <c r="F906" s="50"/>
      <c r="G906" s="50">
        <f>I830*ÍndiceCorreçãoNC!$C$15</f>
        <v>0</v>
      </c>
      <c r="H906" s="50">
        <f t="shared" si="39"/>
        <v>0</v>
      </c>
      <c r="I906" s="50">
        <f t="shared" si="40"/>
        <v>171185.3743</v>
      </c>
      <c r="J906" s="106" t="str">
        <f t="shared" si="41"/>
        <v/>
      </c>
      <c r="K906" s="105"/>
    </row>
    <row r="907" spans="2:11" ht="12.95" customHeight="1" x14ac:dyDescent="0.25">
      <c r="B907" s="45" t="str">
        <f>VLOOKUP(C907,SintéticoNC!$F$4:$G$83,2,FALSE)</f>
        <v>Luciano Bivar</v>
      </c>
      <c r="C907" s="42" t="s">
        <v>194</v>
      </c>
      <c r="D907" s="23" t="s">
        <v>216</v>
      </c>
      <c r="E907" s="43" t="s">
        <v>16</v>
      </c>
      <c r="F907" s="50"/>
      <c r="G907" s="50">
        <f>I831*ÍndiceCorreçãoNC!$C$15</f>
        <v>0</v>
      </c>
      <c r="H907" s="50">
        <f t="shared" si="39"/>
        <v>0</v>
      </c>
      <c r="I907" s="50">
        <f t="shared" si="40"/>
        <v>93648.469469999996</v>
      </c>
      <c r="J907" s="106" t="str">
        <f t="shared" si="41"/>
        <v/>
      </c>
      <c r="K907" s="105"/>
    </row>
    <row r="908" spans="2:11" ht="12.95" customHeight="1" x14ac:dyDescent="0.25">
      <c r="B908" s="45" t="str">
        <f>VLOOKUP(C908,SintéticoNC!$F$4:$G$83,2,FALSE)</f>
        <v>Luis Tibé</v>
      </c>
      <c r="C908" s="42" t="s">
        <v>196</v>
      </c>
      <c r="D908" s="23" t="s">
        <v>216</v>
      </c>
      <c r="E908" s="43" t="s">
        <v>16</v>
      </c>
      <c r="F908" s="50"/>
      <c r="G908" s="50">
        <f>I832*ÍndiceCorreçãoNC!$C$15</f>
        <v>0</v>
      </c>
      <c r="H908" s="50">
        <f t="shared" si="39"/>
        <v>0</v>
      </c>
      <c r="I908" s="50">
        <f t="shared" si="40"/>
        <v>93648.469469999996</v>
      </c>
      <c r="J908" s="106" t="str">
        <f t="shared" si="41"/>
        <v/>
      </c>
      <c r="K908" s="105"/>
    </row>
    <row r="909" spans="2:11" ht="12.95" customHeight="1" x14ac:dyDescent="0.25">
      <c r="B909" s="45" t="str">
        <f>VLOOKUP(C909,SintéticoNC!$F$4:$G$83,2,FALSE)</f>
        <v>Mara Rocha</v>
      </c>
      <c r="C909" s="42" t="s">
        <v>198</v>
      </c>
      <c r="D909" s="23" t="s">
        <v>216</v>
      </c>
      <c r="E909" s="43" t="s">
        <v>16</v>
      </c>
      <c r="F909" s="50"/>
      <c r="G909" s="50">
        <f>I833*ÍndiceCorreçãoNC!$C$15</f>
        <v>0</v>
      </c>
      <c r="H909" s="50">
        <f t="shared" si="39"/>
        <v>0</v>
      </c>
      <c r="I909" s="50">
        <f t="shared" si="40"/>
        <v>171185.3743</v>
      </c>
      <c r="J909" s="106" t="str">
        <f t="shared" si="41"/>
        <v/>
      </c>
      <c r="K909" s="105"/>
    </row>
    <row r="910" spans="2:11" ht="12.95" customHeight="1" x14ac:dyDescent="0.25">
      <c r="B910" s="45" t="str">
        <f>VLOOKUP(C910,SintéticoNC!$F$4:$G$83,2,FALSE)</f>
        <v>Marx Beltrão</v>
      </c>
      <c r="C910" s="42" t="s">
        <v>200</v>
      </c>
      <c r="D910" s="23" t="s">
        <v>216</v>
      </c>
      <c r="E910" s="43" t="s">
        <v>16</v>
      </c>
      <c r="F910" s="50"/>
      <c r="G910" s="50">
        <f>I834*ÍndiceCorreçãoNC!$C$15</f>
        <v>0</v>
      </c>
      <c r="H910" s="50">
        <f t="shared" si="39"/>
        <v>0</v>
      </c>
      <c r="I910" s="50">
        <f t="shared" si="40"/>
        <v>93648.469469999996</v>
      </c>
      <c r="J910" s="106" t="str">
        <f t="shared" si="41"/>
        <v/>
      </c>
      <c r="K910" s="105"/>
    </row>
    <row r="911" spans="2:11" ht="12.95" customHeight="1" x14ac:dyDescent="0.25">
      <c r="B911" s="45" t="str">
        <f>VLOOKUP(C911,SintéticoNC!$F$4:$G$83,2,FALSE)</f>
        <v>Perpétua Almeida</v>
      </c>
      <c r="C911" s="42" t="s">
        <v>202</v>
      </c>
      <c r="D911" s="23" t="s">
        <v>216</v>
      </c>
      <c r="E911" s="43" t="s">
        <v>16</v>
      </c>
      <c r="F911" s="50"/>
      <c r="G911" s="50">
        <f>I835*ÍndiceCorreçãoNC!$C$15</f>
        <v>0</v>
      </c>
      <c r="H911" s="50">
        <f t="shared" si="39"/>
        <v>0</v>
      </c>
      <c r="I911" s="50">
        <f t="shared" si="40"/>
        <v>194341.72057884</v>
      </c>
      <c r="J911" s="106" t="str">
        <f t="shared" si="41"/>
        <v/>
      </c>
      <c r="K911" s="105"/>
    </row>
    <row r="912" spans="2:11" ht="12.95" customHeight="1" x14ac:dyDescent="0.25">
      <c r="B912" s="45" t="str">
        <f>VLOOKUP(C912,SintéticoNC!$F$4:$G$83,2,FALSE)</f>
        <v>Sérgio Petecão</v>
      </c>
      <c r="C912" s="42" t="s">
        <v>204</v>
      </c>
      <c r="D912" s="23" t="s">
        <v>216</v>
      </c>
      <c r="E912" s="43" t="s">
        <v>16</v>
      </c>
      <c r="F912" s="50"/>
      <c r="G912" s="50">
        <f>I836*ÍndiceCorreçãoNC!$C$15</f>
        <v>0</v>
      </c>
      <c r="H912" s="50">
        <f t="shared" si="39"/>
        <v>0</v>
      </c>
      <c r="I912" s="50">
        <f t="shared" si="40"/>
        <v>133538.68957305999</v>
      </c>
      <c r="J912" s="106" t="str">
        <f t="shared" si="41"/>
        <v/>
      </c>
      <c r="K912" s="105"/>
    </row>
    <row r="913" spans="2:11" ht="12.95" customHeight="1" x14ac:dyDescent="0.25">
      <c r="B913" s="45" t="str">
        <f>VLOOKUP(C913,SintéticoNC!$F$4:$G$83,2,FALSE)</f>
        <v>Uldurico Junior</v>
      </c>
      <c r="C913" s="42" t="s">
        <v>206</v>
      </c>
      <c r="D913" s="23" t="s">
        <v>216</v>
      </c>
      <c r="E913" s="43" t="s">
        <v>16</v>
      </c>
      <c r="F913" s="50"/>
      <c r="G913" s="50">
        <f>I837*ÍndiceCorreçãoNC!$C$15</f>
        <v>0</v>
      </c>
      <c r="H913" s="50">
        <f t="shared" si="39"/>
        <v>0</v>
      </c>
      <c r="I913" s="50">
        <f t="shared" si="40"/>
        <v>141983.16339</v>
      </c>
      <c r="J913" s="106" t="str">
        <f t="shared" si="41"/>
        <v/>
      </c>
      <c r="K913" s="105"/>
    </row>
    <row r="914" spans="2:11" ht="12.95" customHeight="1" x14ac:dyDescent="0.25">
      <c r="B914" s="45" t="str">
        <f>VLOOKUP(C914,SintéticoNC!$F$4:$G$83,2,FALSE)</f>
        <v>Soraya Thronicke</v>
      </c>
      <c r="C914" s="42" t="s">
        <v>208</v>
      </c>
      <c r="D914" s="23" t="s">
        <v>216</v>
      </c>
      <c r="E914" s="43" t="s">
        <v>16</v>
      </c>
      <c r="F914" s="50"/>
      <c r="G914" s="50">
        <f>I838*ÍndiceCorreçãoNC!$C$15</f>
        <v>0</v>
      </c>
      <c r="H914" s="50">
        <f t="shared" ref="H914:H917" si="42">IF(I838+G914&gt;F914,F914,I838+G914)</f>
        <v>0</v>
      </c>
      <c r="I914" s="50">
        <f t="shared" ref="I914:I916" si="43">IF(F914&gt;I838+G914,"",I838+G914-F914)</f>
        <v>156080.78245</v>
      </c>
      <c r="J914" s="106" t="str">
        <f t="shared" ref="J914:J937" si="44">IF(I914="",F914-(I838+G914),"")</f>
        <v/>
      </c>
      <c r="K914" s="105"/>
    </row>
    <row r="915" spans="2:11" ht="12.95" customHeight="1" x14ac:dyDescent="0.25">
      <c r="B915" s="45" t="str">
        <f>VLOOKUP(C915,SintéticoNC!$F$4:$G$83,2,FALSE)</f>
        <v>MCom</v>
      </c>
      <c r="C915" s="42" t="s">
        <v>211</v>
      </c>
      <c r="D915" s="23" t="s">
        <v>216</v>
      </c>
      <c r="E915" s="43" t="s">
        <v>16</v>
      </c>
      <c r="F915" s="50"/>
      <c r="G915" s="50">
        <f>I839*ÍndiceCorreçãoNC!$C$15</f>
        <v>0</v>
      </c>
      <c r="H915" s="50">
        <f t="shared" si="42"/>
        <v>0</v>
      </c>
      <c r="I915" s="50">
        <f t="shared" si="43"/>
        <v>503486.39500000002</v>
      </c>
      <c r="J915" s="106" t="str">
        <f t="shared" si="44"/>
        <v/>
      </c>
      <c r="K915" s="105"/>
    </row>
    <row r="916" spans="2:11" ht="12.95" customHeight="1" x14ac:dyDescent="0.25">
      <c r="B916" s="45" t="str">
        <f>VLOOKUP(C916,SintéticoNC!$F$4:$G$83,2,FALSE)</f>
        <v>Cabo Junio Amaral</v>
      </c>
      <c r="C916" s="42" t="s">
        <v>213</v>
      </c>
      <c r="D916" s="23" t="s">
        <v>216</v>
      </c>
      <c r="E916" s="43" t="s">
        <v>16</v>
      </c>
      <c r="F916" s="50"/>
      <c r="G916" s="50">
        <f>I840*ÍndiceCorreçãoNC!$C$15</f>
        <v>0</v>
      </c>
      <c r="H916" s="50">
        <f t="shared" si="42"/>
        <v>0</v>
      </c>
      <c r="I916" s="50">
        <f t="shared" si="43"/>
        <v>93648.469469999996</v>
      </c>
      <c r="J916" s="106" t="str">
        <f t="shared" si="44"/>
        <v/>
      </c>
      <c r="K916" s="105"/>
    </row>
    <row r="917" spans="2:11" ht="12.95" customHeight="1" x14ac:dyDescent="0.25">
      <c r="B917" s="45" t="str">
        <f>VLOOKUP(C917,SintéticoNC!$F$4:$G$83,2,FALSE)</f>
        <v>Leur Lomanto</v>
      </c>
      <c r="C917" s="42" t="s">
        <v>215</v>
      </c>
      <c r="D917" s="23" t="s">
        <v>216</v>
      </c>
      <c r="E917" s="43" t="s">
        <v>16</v>
      </c>
      <c r="F917" s="50"/>
      <c r="G917" s="50">
        <f>I841*ÍndiceCorreçãoNC!$C$15</f>
        <v>0</v>
      </c>
      <c r="H917" s="50">
        <f t="shared" si="42"/>
        <v>0</v>
      </c>
      <c r="I917" s="50">
        <f>IF(F917&gt;AnalíticoNC!I84+AnalíticoNC!G917,"",AnalíticoNC!I84+G917-F917)</f>
        <v>5262250.4896554798</v>
      </c>
      <c r="J917" s="106" t="str">
        <f t="shared" si="44"/>
        <v/>
      </c>
      <c r="K917" s="105"/>
    </row>
    <row r="918" spans="2:11" ht="12.95" customHeight="1" x14ac:dyDescent="0.25">
      <c r="B918" s="45" t="s">
        <v>35</v>
      </c>
      <c r="C918" s="42" t="s">
        <v>281</v>
      </c>
      <c r="D918" s="23" t="s">
        <v>153</v>
      </c>
      <c r="E918" s="43" t="s">
        <v>5</v>
      </c>
      <c r="F918" s="50"/>
      <c r="G918" s="50">
        <f>SintéticoNC!J85*ÍndiceCorreçãoNC!$H$4</f>
        <v>0</v>
      </c>
      <c r="H918" s="50">
        <f>IF(G918+SintéticoNC!J85&gt;AnalíticoNC!F918,AnalíticoNC!F918,SintéticoNC!J85+AnalíticoNC!G918)</f>
        <v>0</v>
      </c>
      <c r="I918" s="50">
        <f>IF(F918&gt;SintéticoNC!J85+AnalíticoNC!G918,"",SintéticoNC!J85+G918-F918)</f>
        <v>0</v>
      </c>
      <c r="J918" s="106" t="str">
        <f t="shared" si="44"/>
        <v/>
      </c>
      <c r="K918" s="105"/>
    </row>
    <row r="919" spans="2:11" ht="12.95" customHeight="1" x14ac:dyDescent="0.25">
      <c r="B919" s="45" t="s">
        <v>277</v>
      </c>
      <c r="C919" s="42" t="s">
        <v>282</v>
      </c>
      <c r="D919" s="23" t="s">
        <v>153</v>
      </c>
      <c r="E919" s="43" t="s">
        <v>5</v>
      </c>
      <c r="F919" s="50"/>
      <c r="G919" s="50">
        <f>SintéticoNC!J86*ÍndiceCorreçãoNC!$H$4</f>
        <v>0</v>
      </c>
      <c r="H919" s="50">
        <f>IF(G919+SintéticoNC!J86&gt;AnalíticoNC!F919,AnalíticoNC!F919,SintéticoNC!J86+AnalíticoNC!G919)</f>
        <v>0</v>
      </c>
      <c r="I919" s="50">
        <f>IF(F919&gt;SintéticoNC!J86+AnalíticoNC!G919,"",SintéticoNC!J86+G919-F919)</f>
        <v>0</v>
      </c>
      <c r="J919" s="106" t="str">
        <f t="shared" si="44"/>
        <v/>
      </c>
      <c r="K919" s="105"/>
    </row>
    <row r="920" spans="2:11" ht="12.95" customHeight="1" x14ac:dyDescent="0.25">
      <c r="B920" s="45" t="s">
        <v>278</v>
      </c>
      <c r="C920" s="42" t="s">
        <v>283</v>
      </c>
      <c r="D920" s="23" t="s">
        <v>153</v>
      </c>
      <c r="E920" s="43" t="s">
        <v>5</v>
      </c>
      <c r="F920" s="50"/>
      <c r="G920" s="50">
        <f>SintéticoNC!J87*ÍndiceCorreçãoNC!$H$4</f>
        <v>0</v>
      </c>
      <c r="H920" s="50">
        <f>IF(G920+SintéticoNC!J87&gt;AnalíticoNC!F920,AnalíticoNC!F920,SintéticoNC!J87+AnalíticoNC!G920)</f>
        <v>0</v>
      </c>
      <c r="I920" s="50">
        <f>IF(F920&gt;SintéticoNC!J87+AnalíticoNC!G920,"",SintéticoNC!J87+G920-F920)</f>
        <v>0</v>
      </c>
      <c r="J920" s="106" t="str">
        <f t="shared" si="44"/>
        <v/>
      </c>
      <c r="K920" s="105"/>
    </row>
    <row r="921" spans="2:11" ht="12.95" customHeight="1" x14ac:dyDescent="0.25">
      <c r="B921" s="45" t="s">
        <v>279</v>
      </c>
      <c r="C921" s="42" t="s">
        <v>284</v>
      </c>
      <c r="D921" s="23" t="s">
        <v>153</v>
      </c>
      <c r="E921" s="43" t="s">
        <v>5</v>
      </c>
      <c r="F921" s="50"/>
      <c r="G921" s="50">
        <f>SintéticoNC!J88*ÍndiceCorreçãoNC!$H$4</f>
        <v>0</v>
      </c>
      <c r="H921" s="50">
        <f>IF(G921+SintéticoNC!J88&gt;AnalíticoNC!F921,AnalíticoNC!F921,SintéticoNC!J88+AnalíticoNC!G921)</f>
        <v>0</v>
      </c>
      <c r="I921" s="50">
        <f>IF(F921&gt;SintéticoNC!J88+AnalíticoNC!G921,"",SintéticoNC!J88+G921-F921)</f>
        <v>0</v>
      </c>
      <c r="J921" s="106" t="str">
        <f t="shared" si="44"/>
        <v/>
      </c>
      <c r="K921" s="105"/>
    </row>
    <row r="922" spans="2:11" ht="12.95" customHeight="1" x14ac:dyDescent="0.25">
      <c r="B922" s="45" t="s">
        <v>280</v>
      </c>
      <c r="C922" s="42" t="s">
        <v>285</v>
      </c>
      <c r="D922" s="23" t="s">
        <v>153</v>
      </c>
      <c r="E922" s="43" t="s">
        <v>5</v>
      </c>
      <c r="F922" s="50"/>
      <c r="G922" s="50">
        <f>SintéticoNC!J89*ÍndiceCorreçãoNC!$H$4</f>
        <v>0</v>
      </c>
      <c r="H922" s="50">
        <f>IF(G922+SintéticoNC!J89&gt;AnalíticoNC!F922,AnalíticoNC!F922,SintéticoNC!J89+AnalíticoNC!G922)</f>
        <v>0</v>
      </c>
      <c r="I922" s="50">
        <f>IF(F922&gt;SintéticoNC!J89+AnalíticoNC!G922,"",SintéticoNC!J89+G922-F922)</f>
        <v>0</v>
      </c>
      <c r="J922" s="106" t="str">
        <f t="shared" si="44"/>
        <v/>
      </c>
      <c r="K922" s="105"/>
    </row>
    <row r="923" spans="2:11" ht="12.95" customHeight="1" x14ac:dyDescent="0.25">
      <c r="B923" s="45" t="s">
        <v>35</v>
      </c>
      <c r="C923" s="42" t="s">
        <v>281</v>
      </c>
      <c r="D923" s="23" t="s">
        <v>153</v>
      </c>
      <c r="E923" s="5" t="s">
        <v>6</v>
      </c>
      <c r="F923" s="50"/>
      <c r="G923" s="50">
        <f>I918*ÍndiceCorreçãoNC!$H$5</f>
        <v>0</v>
      </c>
      <c r="H923" s="50">
        <f>IF(G923+I918&gt;AnalíticoNC!F923,AnalíticoNC!F923,I918+AnalíticoNC!G923)</f>
        <v>0</v>
      </c>
      <c r="I923" s="50">
        <f>IF(F923&gt;I918+AnalíticoNC!G923,"",I918+G923-F923)</f>
        <v>0</v>
      </c>
      <c r="J923" s="106" t="str">
        <f t="shared" si="44"/>
        <v/>
      </c>
      <c r="K923" s="105"/>
    </row>
    <row r="924" spans="2:11" ht="12.95" customHeight="1" x14ac:dyDescent="0.25">
      <c r="B924" s="45" t="s">
        <v>277</v>
      </c>
      <c r="C924" s="42" t="s">
        <v>282</v>
      </c>
      <c r="D924" s="23" t="s">
        <v>153</v>
      </c>
      <c r="E924" s="5" t="s">
        <v>6</v>
      </c>
      <c r="F924" s="50"/>
      <c r="G924" s="50">
        <f>I919*ÍndiceCorreçãoNC!$H$5</f>
        <v>0</v>
      </c>
      <c r="H924" s="50">
        <f>IF(G924+I919&gt;AnalíticoNC!F924,AnalíticoNC!F924,I919+AnalíticoNC!G924)</f>
        <v>0</v>
      </c>
      <c r="I924" s="50">
        <f>IF(F924&gt;I919+AnalíticoNC!G924,"",I919+G924-F924)</f>
        <v>0</v>
      </c>
      <c r="J924" s="106" t="str">
        <f t="shared" si="44"/>
        <v/>
      </c>
      <c r="K924" s="105"/>
    </row>
    <row r="925" spans="2:11" ht="12.95" customHeight="1" x14ac:dyDescent="0.25">
      <c r="B925" s="45" t="s">
        <v>278</v>
      </c>
      <c r="C925" s="42" t="s">
        <v>283</v>
      </c>
      <c r="D925" s="23" t="s">
        <v>153</v>
      </c>
      <c r="E925" s="5" t="s">
        <v>6</v>
      </c>
      <c r="F925" s="50"/>
      <c r="G925" s="50">
        <f>I920*ÍndiceCorreçãoNC!$H$5</f>
        <v>0</v>
      </c>
      <c r="H925" s="50">
        <f>IF(G925+I920&gt;AnalíticoNC!F925,AnalíticoNC!F925,I920+AnalíticoNC!G925)</f>
        <v>0</v>
      </c>
      <c r="I925" s="50">
        <f>IF(F925&gt;I920+AnalíticoNC!G925,"",I920+G925-F925)</f>
        <v>0</v>
      </c>
      <c r="J925" s="106" t="str">
        <f t="shared" si="44"/>
        <v/>
      </c>
      <c r="K925" s="105"/>
    </row>
    <row r="926" spans="2:11" ht="12.95" customHeight="1" x14ac:dyDescent="0.25">
      <c r="B926" s="45" t="s">
        <v>279</v>
      </c>
      <c r="C926" s="42" t="s">
        <v>284</v>
      </c>
      <c r="D926" s="23" t="s">
        <v>153</v>
      </c>
      <c r="E926" s="5" t="s">
        <v>6</v>
      </c>
      <c r="F926" s="50"/>
      <c r="G926" s="50">
        <f>I921*ÍndiceCorreçãoNC!$H$5</f>
        <v>0</v>
      </c>
      <c r="H926" s="50">
        <f>IF(G926+I921&gt;AnalíticoNC!F926,AnalíticoNC!F926,I921+AnalíticoNC!G926)</f>
        <v>0</v>
      </c>
      <c r="I926" s="50">
        <f>IF(F926&gt;I921+AnalíticoNC!G926,"",I921+G926-F926)</f>
        <v>0</v>
      </c>
      <c r="J926" s="106" t="str">
        <f t="shared" si="44"/>
        <v/>
      </c>
      <c r="K926" s="105"/>
    </row>
    <row r="927" spans="2:11" ht="12.95" customHeight="1" x14ac:dyDescent="0.25">
      <c r="B927" s="45" t="s">
        <v>280</v>
      </c>
      <c r="C927" s="42" t="s">
        <v>285</v>
      </c>
      <c r="D927" s="23" t="s">
        <v>153</v>
      </c>
      <c r="E927" s="5" t="s">
        <v>6</v>
      </c>
      <c r="F927" s="50"/>
      <c r="G927" s="50">
        <f>I922*ÍndiceCorreçãoNC!$H$5</f>
        <v>0</v>
      </c>
      <c r="H927" s="50">
        <f>IF(G927+I922&gt;AnalíticoNC!F927,AnalíticoNC!F927,I922+AnalíticoNC!G927)</f>
        <v>0</v>
      </c>
      <c r="I927" s="50">
        <f>IF(F927&gt;I922+AnalíticoNC!G927,"",I922+G927-F927)</f>
        <v>0</v>
      </c>
      <c r="J927" s="106" t="str">
        <f t="shared" si="44"/>
        <v/>
      </c>
      <c r="K927" s="105"/>
    </row>
    <row r="928" spans="2:11" ht="12.95" customHeight="1" x14ac:dyDescent="0.25">
      <c r="B928" s="45" t="s">
        <v>35</v>
      </c>
      <c r="C928" s="42" t="s">
        <v>281</v>
      </c>
      <c r="D928" s="23" t="s">
        <v>153</v>
      </c>
      <c r="E928" s="5" t="s">
        <v>7</v>
      </c>
      <c r="F928" s="50"/>
      <c r="G928" s="50">
        <f>I923*ÍndiceCorreçãoNC!$H$6</f>
        <v>0</v>
      </c>
      <c r="H928" s="50">
        <f>IF(G928+I923&gt;AnalíticoNC!F928,AnalíticoNC!F928,I923+AnalíticoNC!G928)</f>
        <v>0</v>
      </c>
      <c r="I928" s="50">
        <f>IF(F928&gt;I923+AnalíticoNC!G928,"",I923+G928-F928)</f>
        <v>0</v>
      </c>
      <c r="J928" s="106" t="str">
        <f t="shared" si="44"/>
        <v/>
      </c>
      <c r="K928" s="105"/>
    </row>
    <row r="929" spans="2:11" ht="12.95" customHeight="1" x14ac:dyDescent="0.25">
      <c r="B929" s="45" t="s">
        <v>277</v>
      </c>
      <c r="C929" s="42" t="s">
        <v>282</v>
      </c>
      <c r="D929" s="23" t="s">
        <v>153</v>
      </c>
      <c r="E929" s="5" t="s">
        <v>7</v>
      </c>
      <c r="F929" s="50"/>
      <c r="G929" s="50">
        <f>I924*ÍndiceCorreçãoNC!$H$6</f>
        <v>0</v>
      </c>
      <c r="H929" s="50">
        <f>IF(G929+I924&gt;AnalíticoNC!F929,AnalíticoNC!F929,I924+AnalíticoNC!G929)</f>
        <v>0</v>
      </c>
      <c r="I929" s="50">
        <f>IF(F929&gt;I924+AnalíticoNC!G929,"",I924+G929-F929)</f>
        <v>0</v>
      </c>
      <c r="J929" s="106" t="str">
        <f t="shared" si="44"/>
        <v/>
      </c>
      <c r="K929" s="105"/>
    </row>
    <row r="930" spans="2:11" ht="12.95" customHeight="1" x14ac:dyDescent="0.25">
      <c r="B930" s="45" t="s">
        <v>278</v>
      </c>
      <c r="C930" s="42" t="s">
        <v>283</v>
      </c>
      <c r="D930" s="23" t="s">
        <v>153</v>
      </c>
      <c r="E930" s="5" t="s">
        <v>7</v>
      </c>
      <c r="F930" s="50"/>
      <c r="G930" s="50">
        <f>I925*ÍndiceCorreçãoNC!$H$6</f>
        <v>0</v>
      </c>
      <c r="H930" s="50">
        <f>IF(G930+I925&gt;AnalíticoNC!F930,AnalíticoNC!F930,I925+AnalíticoNC!G930)</f>
        <v>0</v>
      </c>
      <c r="I930" s="50">
        <f>IF(F930&gt;I925+AnalíticoNC!G930,"",I925+G930-F930)</f>
        <v>0</v>
      </c>
      <c r="J930" s="106" t="str">
        <f t="shared" si="44"/>
        <v/>
      </c>
      <c r="K930" s="105"/>
    </row>
    <row r="931" spans="2:11" ht="12.95" customHeight="1" x14ac:dyDescent="0.25">
      <c r="B931" s="45" t="s">
        <v>279</v>
      </c>
      <c r="C931" s="42" t="s">
        <v>284</v>
      </c>
      <c r="D931" s="23" t="s">
        <v>153</v>
      </c>
      <c r="E931" s="5" t="s">
        <v>7</v>
      </c>
      <c r="F931" s="50"/>
      <c r="G931" s="50">
        <f>I926*ÍndiceCorreçãoNC!$H$6</f>
        <v>0</v>
      </c>
      <c r="H931" s="50">
        <f>IF(G931+I926&gt;AnalíticoNC!F931,AnalíticoNC!F931,I926+AnalíticoNC!G931)</f>
        <v>0</v>
      </c>
      <c r="I931" s="50">
        <f>IF(F931&gt;I926+AnalíticoNC!G931,"",I926+G931-F931)</f>
        <v>0</v>
      </c>
      <c r="J931" s="106" t="str">
        <f t="shared" si="44"/>
        <v/>
      </c>
      <c r="K931" s="105"/>
    </row>
    <row r="932" spans="2:11" ht="12.95" customHeight="1" x14ac:dyDescent="0.25">
      <c r="B932" s="45" t="s">
        <v>280</v>
      </c>
      <c r="C932" s="42" t="s">
        <v>285</v>
      </c>
      <c r="D932" s="23" t="s">
        <v>153</v>
      </c>
      <c r="E932" s="5" t="s">
        <v>7</v>
      </c>
      <c r="F932" s="50"/>
      <c r="G932" s="50">
        <f>I927*ÍndiceCorreçãoNC!$H$6</f>
        <v>0</v>
      </c>
      <c r="H932" s="50">
        <f>IF(G932+I927&gt;AnalíticoNC!F932,AnalíticoNC!F932,I927+AnalíticoNC!G932)</f>
        <v>0</v>
      </c>
      <c r="I932" s="50">
        <f>IF(F932&gt;I927+AnalíticoNC!G932,"",I927+G932-F932)</f>
        <v>0</v>
      </c>
      <c r="J932" s="106" t="str">
        <f t="shared" si="44"/>
        <v/>
      </c>
      <c r="K932" s="105"/>
    </row>
    <row r="933" spans="2:11" ht="12.95" customHeight="1" x14ac:dyDescent="0.25">
      <c r="B933" s="45" t="s">
        <v>35</v>
      </c>
      <c r="C933" s="42" t="s">
        <v>281</v>
      </c>
      <c r="D933" s="23" t="s">
        <v>153</v>
      </c>
      <c r="E933" s="5" t="s">
        <v>8</v>
      </c>
      <c r="F933" s="50"/>
      <c r="G933" s="50">
        <f>I928*ÍndiceCorreçãoNC!$H$7</f>
        <v>0</v>
      </c>
      <c r="H933" s="50">
        <f>IF(G933+I928&gt;AnalíticoNC!F933,AnalíticoNC!F933,I928+AnalíticoNC!G933)</f>
        <v>0</v>
      </c>
      <c r="I933" s="50">
        <f>IF(F933&gt;I928+AnalíticoNC!G933,"",I928+G933-F933)</f>
        <v>0</v>
      </c>
      <c r="J933" s="106" t="str">
        <f t="shared" si="44"/>
        <v/>
      </c>
      <c r="K933" s="105"/>
    </row>
    <row r="934" spans="2:11" ht="12.95" customHeight="1" x14ac:dyDescent="0.25">
      <c r="B934" s="45" t="s">
        <v>277</v>
      </c>
      <c r="C934" s="42" t="s">
        <v>282</v>
      </c>
      <c r="D934" s="23" t="s">
        <v>153</v>
      </c>
      <c r="E934" s="5" t="s">
        <v>8</v>
      </c>
      <c r="F934" s="50"/>
      <c r="G934" s="50">
        <f>I929*ÍndiceCorreçãoNC!$H$7</f>
        <v>0</v>
      </c>
      <c r="H934" s="50">
        <f>IF(G934+I929&gt;AnalíticoNC!F934,AnalíticoNC!F934,I929+AnalíticoNC!G934)</f>
        <v>0</v>
      </c>
      <c r="I934" s="50">
        <f>IF(F934&gt;I929+AnalíticoNC!G934,"",I929+G934-F934)</f>
        <v>0</v>
      </c>
      <c r="J934" s="106" t="str">
        <f t="shared" si="44"/>
        <v/>
      </c>
      <c r="K934" s="105"/>
    </row>
    <row r="935" spans="2:11" ht="12.95" customHeight="1" x14ac:dyDescent="0.25">
      <c r="B935" s="45" t="s">
        <v>278</v>
      </c>
      <c r="C935" s="42" t="s">
        <v>283</v>
      </c>
      <c r="D935" s="23" t="s">
        <v>153</v>
      </c>
      <c r="E935" s="5" t="s">
        <v>8</v>
      </c>
      <c r="F935" s="50"/>
      <c r="G935" s="50">
        <f>I930*ÍndiceCorreçãoNC!$H$7</f>
        <v>0</v>
      </c>
      <c r="H935" s="50">
        <f>IF(G935+I930&gt;AnalíticoNC!F935,AnalíticoNC!F935,I930+AnalíticoNC!G935)</f>
        <v>0</v>
      </c>
      <c r="I935" s="50">
        <f>IF(F935&gt;I930+AnalíticoNC!G935,"",I930+G935-F935)</f>
        <v>0</v>
      </c>
      <c r="J935" s="106" t="str">
        <f t="shared" si="44"/>
        <v/>
      </c>
      <c r="K935" s="105"/>
    </row>
    <row r="936" spans="2:11" ht="12.95" customHeight="1" x14ac:dyDescent="0.25">
      <c r="B936" s="45" t="s">
        <v>279</v>
      </c>
      <c r="C936" s="42" t="s">
        <v>284</v>
      </c>
      <c r="D936" s="23" t="s">
        <v>153</v>
      </c>
      <c r="E936" s="5" t="s">
        <v>8</v>
      </c>
      <c r="F936" s="50"/>
      <c r="G936" s="50">
        <f>I931*ÍndiceCorreçãoNC!$H$7</f>
        <v>0</v>
      </c>
      <c r="H936" s="50">
        <f>IF(G936+I931&gt;AnalíticoNC!F936,AnalíticoNC!F936,I931+AnalíticoNC!G936)</f>
        <v>0</v>
      </c>
      <c r="I936" s="50">
        <f>IF(F936&gt;I931+AnalíticoNC!G936,"",I931+G936-F936)</f>
        <v>0</v>
      </c>
      <c r="J936" s="106" t="str">
        <f t="shared" si="44"/>
        <v/>
      </c>
      <c r="K936" s="105"/>
    </row>
    <row r="937" spans="2:11" ht="12.95" customHeight="1" x14ac:dyDescent="0.25">
      <c r="B937" s="45" t="s">
        <v>280</v>
      </c>
      <c r="C937" s="42" t="s">
        <v>285</v>
      </c>
      <c r="D937" s="23" t="s">
        <v>153</v>
      </c>
      <c r="E937" s="5" t="s">
        <v>8</v>
      </c>
      <c r="F937" s="50"/>
      <c r="G937" s="50">
        <f>I932*ÍndiceCorreçãoNC!$H$7</f>
        <v>0</v>
      </c>
      <c r="H937" s="50">
        <f>IF(G937+I932&gt;AnalíticoNC!F937,AnalíticoNC!F937,I932+AnalíticoNC!G937)</f>
        <v>0</v>
      </c>
      <c r="I937" s="50">
        <f>IF(F937&gt;I932+AnalíticoNC!G937,"",I932+G937-F937)</f>
        <v>0</v>
      </c>
      <c r="J937" s="106" t="str">
        <f t="shared" si="44"/>
        <v/>
      </c>
      <c r="K937" s="105"/>
    </row>
    <row r="938" spans="2:11" ht="12.95" customHeight="1" x14ac:dyDescent="0.25">
      <c r="B938" s="45" t="s">
        <v>35</v>
      </c>
      <c r="C938" s="42" t="s">
        <v>281</v>
      </c>
      <c r="D938" s="23" t="s">
        <v>153</v>
      </c>
      <c r="E938" s="5" t="s">
        <v>9</v>
      </c>
      <c r="F938" s="50"/>
      <c r="G938" s="50">
        <f>I933*ÍndiceCorreçãoNC!$H$8</f>
        <v>0</v>
      </c>
      <c r="H938" s="50">
        <f>IF(G938+I933&gt;AnalíticoNC!F938,AnalíticoNC!F938,I933+AnalíticoNC!G938)</f>
        <v>0</v>
      </c>
      <c r="I938" s="50">
        <f>IF(F938&gt;I933+AnalíticoNC!G938,"",I933+G938-F938)</f>
        <v>0</v>
      </c>
      <c r="J938" s="106" t="str">
        <f>IF(I938="",F938-(#REF!+G938),"")</f>
        <v/>
      </c>
      <c r="K938" s="105"/>
    </row>
    <row r="939" spans="2:11" ht="12.95" customHeight="1" x14ac:dyDescent="0.25">
      <c r="B939" s="45" t="s">
        <v>277</v>
      </c>
      <c r="C939" s="42" t="s">
        <v>282</v>
      </c>
      <c r="D939" s="23" t="s">
        <v>153</v>
      </c>
      <c r="E939" s="5" t="s">
        <v>9</v>
      </c>
      <c r="F939" s="50"/>
      <c r="G939" s="50">
        <f>I934*ÍndiceCorreçãoNC!$H$8</f>
        <v>0</v>
      </c>
      <c r="H939" s="50">
        <f>IF(G939+I934&gt;AnalíticoNC!F939,AnalíticoNC!F939,I934+AnalíticoNC!G939)</f>
        <v>0</v>
      </c>
      <c r="I939" s="50">
        <f>IF(F939&gt;I934+AnalíticoNC!G939,"",I934+G939-F939)</f>
        <v>0</v>
      </c>
      <c r="J939" s="106" t="str">
        <f t="shared" ref="J939:J977" si="45">IF(I939="",F939-(I862+G939),"")</f>
        <v/>
      </c>
      <c r="K939" s="105"/>
    </row>
    <row r="940" spans="2:11" ht="12.95" customHeight="1" x14ac:dyDescent="0.25">
      <c r="B940" s="45" t="s">
        <v>278</v>
      </c>
      <c r="C940" s="42" t="s">
        <v>283</v>
      </c>
      <c r="D940" s="23" t="s">
        <v>153</v>
      </c>
      <c r="E940" s="5" t="s">
        <v>9</v>
      </c>
      <c r="F940" s="50"/>
      <c r="G940" s="50">
        <f>I935*ÍndiceCorreçãoNC!$H$8</f>
        <v>0</v>
      </c>
      <c r="H940" s="50">
        <f>IF(G940+I935&gt;AnalíticoNC!F940,AnalíticoNC!F940,I935+AnalíticoNC!G940)</f>
        <v>0</v>
      </c>
      <c r="I940" s="50">
        <f>IF(F940&gt;I935+AnalíticoNC!G940,"",I935+G940-F940)</f>
        <v>0</v>
      </c>
      <c r="J940" s="106" t="str">
        <f t="shared" si="45"/>
        <v/>
      </c>
      <c r="K940" s="105"/>
    </row>
    <row r="941" spans="2:11" ht="12.95" customHeight="1" x14ac:dyDescent="0.25">
      <c r="B941" s="45" t="s">
        <v>279</v>
      </c>
      <c r="C941" s="42" t="s">
        <v>284</v>
      </c>
      <c r="D941" s="23" t="s">
        <v>153</v>
      </c>
      <c r="E941" s="5" t="s">
        <v>9</v>
      </c>
      <c r="F941" s="50"/>
      <c r="G941" s="50">
        <f>I936*ÍndiceCorreçãoNC!$H$8</f>
        <v>0</v>
      </c>
      <c r="H941" s="50">
        <f>IF(G941+I936&gt;AnalíticoNC!F941,AnalíticoNC!F941,I936+AnalíticoNC!G941)</f>
        <v>0</v>
      </c>
      <c r="I941" s="50">
        <f>IF(F941&gt;I936+AnalíticoNC!G941,"",I936+G941-F941)</f>
        <v>0</v>
      </c>
      <c r="J941" s="106" t="str">
        <f t="shared" si="45"/>
        <v/>
      </c>
      <c r="K941" s="105"/>
    </row>
    <row r="942" spans="2:11" ht="12.95" customHeight="1" x14ac:dyDescent="0.25">
      <c r="B942" s="45" t="s">
        <v>280</v>
      </c>
      <c r="C942" s="42" t="s">
        <v>285</v>
      </c>
      <c r="D942" s="23" t="s">
        <v>153</v>
      </c>
      <c r="E942" s="5" t="s">
        <v>9</v>
      </c>
      <c r="F942" s="50"/>
      <c r="G942" s="50">
        <f>I937*ÍndiceCorreçãoNC!$H$8</f>
        <v>0</v>
      </c>
      <c r="H942" s="50">
        <f>IF(G942+I937&gt;AnalíticoNC!F942,AnalíticoNC!F942,I937+AnalíticoNC!G942)</f>
        <v>0</v>
      </c>
      <c r="I942" s="50">
        <f>IF(F942&gt;I937+AnalíticoNC!G942,"",I937+G942-F942)</f>
        <v>0</v>
      </c>
      <c r="J942" s="106" t="str">
        <f t="shared" si="45"/>
        <v/>
      </c>
      <c r="K942" s="105"/>
    </row>
    <row r="943" spans="2:11" ht="12.95" customHeight="1" x14ac:dyDescent="0.25">
      <c r="B943" s="45" t="s">
        <v>35</v>
      </c>
      <c r="C943" s="42" t="s">
        <v>281</v>
      </c>
      <c r="D943" s="23" t="s">
        <v>153</v>
      </c>
      <c r="E943" s="5" t="s">
        <v>10</v>
      </c>
      <c r="F943" s="50"/>
      <c r="G943" s="50">
        <f>I938*ÍndiceCorreçãoNC!$H$9</f>
        <v>0</v>
      </c>
      <c r="H943" s="50">
        <f>IF(G943+I938&gt;AnalíticoNC!F943,AnalíticoNC!F943,I938+AnalíticoNC!G943)</f>
        <v>0</v>
      </c>
      <c r="I943" s="50">
        <f>IF(F943&gt;I938+AnalíticoNC!G943,"",I938+G943-F943)</f>
        <v>0</v>
      </c>
      <c r="J943" s="106" t="str">
        <f t="shared" si="45"/>
        <v/>
      </c>
      <c r="K943" s="105"/>
    </row>
    <row r="944" spans="2:11" ht="12.95" customHeight="1" x14ac:dyDescent="0.25">
      <c r="B944" s="45" t="s">
        <v>277</v>
      </c>
      <c r="C944" s="42" t="s">
        <v>282</v>
      </c>
      <c r="D944" s="23" t="s">
        <v>153</v>
      </c>
      <c r="E944" s="5" t="s">
        <v>10</v>
      </c>
      <c r="F944" s="50"/>
      <c r="G944" s="50">
        <f>I939*ÍndiceCorreçãoNC!$H$9</f>
        <v>0</v>
      </c>
      <c r="H944" s="50">
        <f>IF(G944+I939&gt;AnalíticoNC!F944,AnalíticoNC!F944,I939+AnalíticoNC!G944)</f>
        <v>0</v>
      </c>
      <c r="I944" s="50">
        <f>IF(F944&gt;I939+AnalíticoNC!G944,"",I939+G944-F944)</f>
        <v>0</v>
      </c>
      <c r="J944" s="106" t="str">
        <f t="shared" si="45"/>
        <v/>
      </c>
      <c r="K944" s="105"/>
    </row>
    <row r="945" spans="2:11" ht="12.95" customHeight="1" x14ac:dyDescent="0.25">
      <c r="B945" s="45" t="s">
        <v>278</v>
      </c>
      <c r="C945" s="42" t="s">
        <v>283</v>
      </c>
      <c r="D945" s="23" t="s">
        <v>153</v>
      </c>
      <c r="E945" s="5" t="s">
        <v>10</v>
      </c>
      <c r="F945" s="50"/>
      <c r="G945" s="50">
        <f>I940*ÍndiceCorreçãoNC!$H$9</f>
        <v>0</v>
      </c>
      <c r="H945" s="50">
        <f>IF(G945+I940&gt;AnalíticoNC!F945,AnalíticoNC!F945,I940+AnalíticoNC!G945)</f>
        <v>0</v>
      </c>
      <c r="I945" s="50">
        <f>IF(F945&gt;I940+AnalíticoNC!G945,"",I940+G945-F945)</f>
        <v>0</v>
      </c>
      <c r="J945" s="106" t="str">
        <f t="shared" si="45"/>
        <v/>
      </c>
      <c r="K945" s="105"/>
    </row>
    <row r="946" spans="2:11" ht="12.95" customHeight="1" x14ac:dyDescent="0.25">
      <c r="B946" s="45" t="s">
        <v>279</v>
      </c>
      <c r="C946" s="42" t="s">
        <v>284</v>
      </c>
      <c r="D946" s="23" t="s">
        <v>153</v>
      </c>
      <c r="E946" s="5" t="s">
        <v>10</v>
      </c>
      <c r="F946" s="50"/>
      <c r="G946" s="50">
        <f>I941*ÍndiceCorreçãoNC!$H$9</f>
        <v>0</v>
      </c>
      <c r="H946" s="50">
        <f>IF(G946+I941&gt;AnalíticoNC!F946,AnalíticoNC!F946,I941+AnalíticoNC!G946)</f>
        <v>0</v>
      </c>
      <c r="I946" s="50">
        <f>IF(F946&gt;I941+AnalíticoNC!G946,"",I941+G946-F946)</f>
        <v>0</v>
      </c>
      <c r="J946" s="106" t="str">
        <f t="shared" si="45"/>
        <v/>
      </c>
      <c r="K946" s="105"/>
    </row>
    <row r="947" spans="2:11" ht="12.95" customHeight="1" x14ac:dyDescent="0.25">
      <c r="B947" s="45" t="s">
        <v>280</v>
      </c>
      <c r="C947" s="42" t="s">
        <v>285</v>
      </c>
      <c r="D947" s="23" t="s">
        <v>153</v>
      </c>
      <c r="E947" s="5" t="s">
        <v>10</v>
      </c>
      <c r="F947" s="50"/>
      <c r="G947" s="50">
        <f>I942*ÍndiceCorreçãoNC!$H$9</f>
        <v>0</v>
      </c>
      <c r="H947" s="50">
        <f>IF(G947+I942&gt;AnalíticoNC!F947,AnalíticoNC!F947,I942+AnalíticoNC!G947)</f>
        <v>0</v>
      </c>
      <c r="I947" s="50">
        <f>IF(F947&gt;I942+AnalíticoNC!G947,"",I942+G947-F947)</f>
        <v>0</v>
      </c>
      <c r="J947" s="106" t="str">
        <f t="shared" si="45"/>
        <v/>
      </c>
      <c r="K947" s="105"/>
    </row>
    <row r="948" spans="2:11" ht="12.95" customHeight="1" x14ac:dyDescent="0.25">
      <c r="B948" s="45" t="s">
        <v>35</v>
      </c>
      <c r="C948" s="42" t="s">
        <v>281</v>
      </c>
      <c r="D948" s="23" t="s">
        <v>153</v>
      </c>
      <c r="E948" s="5" t="s">
        <v>11</v>
      </c>
      <c r="F948" s="50"/>
      <c r="G948" s="50">
        <f>I943*ÍndiceCorreçãoNC!$H$10</f>
        <v>0</v>
      </c>
      <c r="H948" s="50">
        <f>IF(G948+I943&gt;AnalíticoNC!F948,AnalíticoNC!F948,I943+AnalíticoNC!G948)</f>
        <v>0</v>
      </c>
      <c r="I948" s="50">
        <f>IF(F948&gt;I943+AnalíticoNC!G948,"",I943+G948-F948)</f>
        <v>0</v>
      </c>
      <c r="J948" s="106" t="str">
        <f t="shared" si="45"/>
        <v/>
      </c>
      <c r="K948" s="105"/>
    </row>
    <row r="949" spans="2:11" ht="12.95" customHeight="1" x14ac:dyDescent="0.25">
      <c r="B949" s="45" t="s">
        <v>277</v>
      </c>
      <c r="C949" s="42" t="s">
        <v>282</v>
      </c>
      <c r="D949" s="23" t="s">
        <v>153</v>
      </c>
      <c r="E949" s="5" t="s">
        <v>11</v>
      </c>
      <c r="F949" s="50"/>
      <c r="G949" s="50">
        <f>I944*ÍndiceCorreçãoNC!$H$10</f>
        <v>0</v>
      </c>
      <c r="H949" s="50">
        <f>IF(G949+I944&gt;AnalíticoNC!F949,AnalíticoNC!F949,I944+AnalíticoNC!G949)</f>
        <v>0</v>
      </c>
      <c r="I949" s="50">
        <f>IF(F949&gt;I944+AnalíticoNC!G949,"",I944+G949-F949)</f>
        <v>0</v>
      </c>
      <c r="J949" s="106" t="str">
        <f t="shared" si="45"/>
        <v/>
      </c>
      <c r="K949" s="105"/>
    </row>
    <row r="950" spans="2:11" ht="12.95" customHeight="1" x14ac:dyDescent="0.25">
      <c r="B950" s="45" t="s">
        <v>278</v>
      </c>
      <c r="C950" s="42" t="s">
        <v>283</v>
      </c>
      <c r="D950" s="23" t="s">
        <v>153</v>
      </c>
      <c r="E950" s="5" t="s">
        <v>11</v>
      </c>
      <c r="F950" s="50"/>
      <c r="G950" s="50">
        <f>I945*ÍndiceCorreçãoNC!$H$10</f>
        <v>0</v>
      </c>
      <c r="H950" s="50">
        <f>IF(G950+I945&gt;AnalíticoNC!F950,AnalíticoNC!F950,I945+AnalíticoNC!G950)</f>
        <v>0</v>
      </c>
      <c r="I950" s="50">
        <f>IF(F950&gt;I945+AnalíticoNC!G950,"",I945+G950-F950)</f>
        <v>0</v>
      </c>
      <c r="J950" s="106" t="str">
        <f t="shared" si="45"/>
        <v/>
      </c>
      <c r="K950" s="105"/>
    </row>
    <row r="951" spans="2:11" ht="12.95" customHeight="1" x14ac:dyDescent="0.25">
      <c r="B951" s="45" t="s">
        <v>279</v>
      </c>
      <c r="C951" s="42" t="s">
        <v>284</v>
      </c>
      <c r="D951" s="23" t="s">
        <v>153</v>
      </c>
      <c r="E951" s="5" t="s">
        <v>11</v>
      </c>
      <c r="F951" s="50"/>
      <c r="G951" s="50">
        <f>I946*ÍndiceCorreçãoNC!$H$10</f>
        <v>0</v>
      </c>
      <c r="H951" s="50">
        <f>IF(G951+I946&gt;AnalíticoNC!F951,AnalíticoNC!F951,I946+AnalíticoNC!G951)</f>
        <v>0</v>
      </c>
      <c r="I951" s="50">
        <f>IF(F951&gt;I946+AnalíticoNC!G951,"",I946+G951-F951)</f>
        <v>0</v>
      </c>
      <c r="J951" s="106" t="str">
        <f t="shared" si="45"/>
        <v/>
      </c>
      <c r="K951" s="105"/>
    </row>
    <row r="952" spans="2:11" ht="12.95" customHeight="1" x14ac:dyDescent="0.25">
      <c r="B952" s="45" t="s">
        <v>280</v>
      </c>
      <c r="C952" s="42" t="s">
        <v>285</v>
      </c>
      <c r="D952" s="23" t="s">
        <v>153</v>
      </c>
      <c r="E952" s="5" t="s">
        <v>11</v>
      </c>
      <c r="F952" s="50"/>
      <c r="G952" s="50">
        <f>I947*ÍndiceCorreçãoNC!$H$10</f>
        <v>0</v>
      </c>
      <c r="H952" s="50">
        <f>IF(G952+I947&gt;AnalíticoNC!F952,AnalíticoNC!F952,I947+AnalíticoNC!G952)</f>
        <v>0</v>
      </c>
      <c r="I952" s="50">
        <f>IF(F952&gt;I947+AnalíticoNC!G952,"",I947+G952-F952)</f>
        <v>0</v>
      </c>
      <c r="J952" s="106" t="str">
        <f t="shared" si="45"/>
        <v/>
      </c>
      <c r="K952" s="105"/>
    </row>
    <row r="953" spans="2:11" ht="12.95" customHeight="1" x14ac:dyDescent="0.25">
      <c r="B953" s="45" t="s">
        <v>35</v>
      </c>
      <c r="C953" s="42" t="s">
        <v>281</v>
      </c>
      <c r="D953" s="23" t="s">
        <v>153</v>
      </c>
      <c r="E953" s="5" t="s">
        <v>12</v>
      </c>
      <c r="F953" s="50"/>
      <c r="G953" s="50">
        <f>I948*ÍndiceCorreçãoNC!$H$11</f>
        <v>0</v>
      </c>
      <c r="H953" s="50">
        <f>IF(G953+I948&gt;AnalíticoNC!F953,AnalíticoNC!F953,I948+AnalíticoNC!G953)</f>
        <v>0</v>
      </c>
      <c r="I953" s="50">
        <f>IF(F953&gt;I948+AnalíticoNC!G953,"",I948+G953-F953)</f>
        <v>0</v>
      </c>
      <c r="J953" s="106" t="str">
        <f t="shared" si="45"/>
        <v/>
      </c>
      <c r="K953" s="105"/>
    </row>
    <row r="954" spans="2:11" ht="12.95" customHeight="1" x14ac:dyDescent="0.25">
      <c r="B954" s="45" t="s">
        <v>277</v>
      </c>
      <c r="C954" s="42" t="s">
        <v>282</v>
      </c>
      <c r="D954" s="23" t="s">
        <v>153</v>
      </c>
      <c r="E954" s="5" t="s">
        <v>12</v>
      </c>
      <c r="F954" s="50"/>
      <c r="G954" s="50">
        <f>I949*ÍndiceCorreçãoNC!$H$11</f>
        <v>0</v>
      </c>
      <c r="H954" s="50">
        <f>IF(G954+I949&gt;AnalíticoNC!F954,AnalíticoNC!F954,I949+AnalíticoNC!G954)</f>
        <v>0</v>
      </c>
      <c r="I954" s="50">
        <f>IF(F954&gt;I949+AnalíticoNC!G954,"",I949+G954-F954)</f>
        <v>0</v>
      </c>
      <c r="J954" s="106" t="str">
        <f t="shared" si="45"/>
        <v/>
      </c>
      <c r="K954" s="105"/>
    </row>
    <row r="955" spans="2:11" ht="12.95" customHeight="1" x14ac:dyDescent="0.25">
      <c r="B955" s="45" t="s">
        <v>278</v>
      </c>
      <c r="C955" s="42" t="s">
        <v>283</v>
      </c>
      <c r="D955" s="23" t="s">
        <v>153</v>
      </c>
      <c r="E955" s="5" t="s">
        <v>12</v>
      </c>
      <c r="F955" s="50"/>
      <c r="G955" s="50">
        <f>I950*ÍndiceCorreçãoNC!$H$11</f>
        <v>0</v>
      </c>
      <c r="H955" s="50">
        <f>IF(G955+I950&gt;AnalíticoNC!F955,AnalíticoNC!F955,I950+AnalíticoNC!G955)</f>
        <v>0</v>
      </c>
      <c r="I955" s="50">
        <f>IF(F955&gt;I950+AnalíticoNC!G955,"",I950+G955-F955)</f>
        <v>0</v>
      </c>
      <c r="J955" s="106" t="str">
        <f t="shared" si="45"/>
        <v/>
      </c>
      <c r="K955" s="105"/>
    </row>
    <row r="956" spans="2:11" ht="12.95" customHeight="1" x14ac:dyDescent="0.25">
      <c r="B956" s="45" t="s">
        <v>279</v>
      </c>
      <c r="C956" s="42" t="s">
        <v>284</v>
      </c>
      <c r="D956" s="23" t="s">
        <v>153</v>
      </c>
      <c r="E956" s="5" t="s">
        <v>12</v>
      </c>
      <c r="F956" s="50"/>
      <c r="G956" s="50">
        <f>I951*ÍndiceCorreçãoNC!$H$11</f>
        <v>0</v>
      </c>
      <c r="H956" s="50">
        <f>IF(G956+I951&gt;AnalíticoNC!F956,AnalíticoNC!F956,I951+AnalíticoNC!G956)</f>
        <v>0</v>
      </c>
      <c r="I956" s="50">
        <f>IF(F956&gt;I951+AnalíticoNC!G956,"",I951+G956-F956)</f>
        <v>0</v>
      </c>
      <c r="J956" s="106" t="str">
        <f t="shared" si="45"/>
        <v/>
      </c>
      <c r="K956" s="105"/>
    </row>
    <row r="957" spans="2:11" ht="12.95" customHeight="1" x14ac:dyDescent="0.25">
      <c r="B957" s="45" t="s">
        <v>280</v>
      </c>
      <c r="C957" s="42" t="s">
        <v>285</v>
      </c>
      <c r="D957" s="23" t="s">
        <v>153</v>
      </c>
      <c r="E957" s="5" t="s">
        <v>12</v>
      </c>
      <c r="F957" s="50"/>
      <c r="G957" s="50">
        <f>I952*ÍndiceCorreçãoNC!$H$11</f>
        <v>0</v>
      </c>
      <c r="H957" s="50">
        <f>IF(G957+I952&gt;AnalíticoNC!F957,AnalíticoNC!F957,I952+AnalíticoNC!G957)</f>
        <v>0</v>
      </c>
      <c r="I957" s="50">
        <f>IF(F957&gt;I952+AnalíticoNC!G957,"",I952+G957-F957)</f>
        <v>0</v>
      </c>
      <c r="J957" s="106" t="str">
        <f t="shared" si="45"/>
        <v/>
      </c>
      <c r="K957" s="105"/>
    </row>
    <row r="958" spans="2:11" ht="12.95" customHeight="1" x14ac:dyDescent="0.25">
      <c r="B958" s="45" t="s">
        <v>35</v>
      </c>
      <c r="C958" s="42" t="s">
        <v>281</v>
      </c>
      <c r="D958" s="23" t="s">
        <v>153</v>
      </c>
      <c r="E958" s="5" t="s">
        <v>13</v>
      </c>
      <c r="F958" s="50"/>
      <c r="G958" s="50">
        <f>I953*ÍndiceCorreçãoNC!$H$12</f>
        <v>0</v>
      </c>
      <c r="H958" s="50">
        <f>IF(G958+I953&gt;AnalíticoNC!F958,AnalíticoNC!F958,I953+AnalíticoNC!G958)</f>
        <v>0</v>
      </c>
      <c r="I958" s="50">
        <f>IF(F958&gt;I953+AnalíticoNC!G958,"",I953+G958-F958)</f>
        <v>0</v>
      </c>
      <c r="J958" s="106" t="str">
        <f t="shared" si="45"/>
        <v/>
      </c>
      <c r="K958" s="105"/>
    </row>
    <row r="959" spans="2:11" ht="12.95" customHeight="1" x14ac:dyDescent="0.25">
      <c r="B959" s="45" t="s">
        <v>277</v>
      </c>
      <c r="C959" s="42" t="s">
        <v>282</v>
      </c>
      <c r="D959" s="23" t="s">
        <v>153</v>
      </c>
      <c r="E959" s="5" t="s">
        <v>13</v>
      </c>
      <c r="F959" s="50"/>
      <c r="G959" s="50">
        <f>I954*ÍndiceCorreçãoNC!$H$12</f>
        <v>0</v>
      </c>
      <c r="H959" s="50">
        <f>IF(G959+I954&gt;AnalíticoNC!F959,AnalíticoNC!F959,I954+AnalíticoNC!G959)</f>
        <v>0</v>
      </c>
      <c r="I959" s="50">
        <f>IF(F959&gt;I954+AnalíticoNC!G959,"",I954+G959-F959)</f>
        <v>0</v>
      </c>
      <c r="J959" s="106" t="str">
        <f t="shared" si="45"/>
        <v/>
      </c>
      <c r="K959" s="105"/>
    </row>
    <row r="960" spans="2:11" ht="12.95" customHeight="1" x14ac:dyDescent="0.25">
      <c r="B960" s="45" t="s">
        <v>278</v>
      </c>
      <c r="C960" s="42" t="s">
        <v>283</v>
      </c>
      <c r="D960" s="23" t="s">
        <v>153</v>
      </c>
      <c r="E960" s="5" t="s">
        <v>13</v>
      </c>
      <c r="F960" s="50"/>
      <c r="G960" s="50">
        <f>I955*ÍndiceCorreçãoNC!$H$12</f>
        <v>0</v>
      </c>
      <c r="H960" s="50">
        <f>IF(G960+I955&gt;AnalíticoNC!F960,AnalíticoNC!F960,I955+AnalíticoNC!G960)</f>
        <v>0</v>
      </c>
      <c r="I960" s="50">
        <f>IF(F960&gt;I955+AnalíticoNC!G960,"",I955+G960-F960)</f>
        <v>0</v>
      </c>
      <c r="J960" s="106" t="str">
        <f t="shared" si="45"/>
        <v/>
      </c>
      <c r="K960" s="105"/>
    </row>
    <row r="961" spans="2:11" ht="12.95" customHeight="1" x14ac:dyDescent="0.25">
      <c r="B961" s="45" t="s">
        <v>279</v>
      </c>
      <c r="C961" s="42" t="s">
        <v>284</v>
      </c>
      <c r="D961" s="23" t="s">
        <v>153</v>
      </c>
      <c r="E961" s="5" t="s">
        <v>13</v>
      </c>
      <c r="F961" s="50"/>
      <c r="G961" s="50">
        <f>I956*ÍndiceCorreçãoNC!$H$12</f>
        <v>0</v>
      </c>
      <c r="H961" s="50">
        <f>IF(G961+I956&gt;AnalíticoNC!F961,AnalíticoNC!F961,I956+AnalíticoNC!G961)</f>
        <v>0</v>
      </c>
      <c r="I961" s="50">
        <f>IF(F961&gt;I956+AnalíticoNC!G961,"",I956+G961-F961)</f>
        <v>0</v>
      </c>
      <c r="J961" s="106" t="str">
        <f t="shared" si="45"/>
        <v/>
      </c>
      <c r="K961" s="105"/>
    </row>
    <row r="962" spans="2:11" ht="12.95" customHeight="1" x14ac:dyDescent="0.25">
      <c r="B962" s="45" t="s">
        <v>280</v>
      </c>
      <c r="C962" s="42" t="s">
        <v>285</v>
      </c>
      <c r="D962" s="23" t="s">
        <v>153</v>
      </c>
      <c r="E962" s="5" t="s">
        <v>13</v>
      </c>
      <c r="F962" s="50"/>
      <c r="G962" s="50">
        <f>I957*ÍndiceCorreçãoNC!$H$12</f>
        <v>0</v>
      </c>
      <c r="H962" s="50">
        <f>IF(G962+I957&gt;AnalíticoNC!F962,AnalíticoNC!F962,I957+AnalíticoNC!G962)</f>
        <v>0</v>
      </c>
      <c r="I962" s="50">
        <f>IF(F962&gt;I957+AnalíticoNC!G962,"",I957+G962-F962)</f>
        <v>0</v>
      </c>
      <c r="J962" s="106" t="str">
        <f t="shared" si="45"/>
        <v/>
      </c>
      <c r="K962" s="105"/>
    </row>
    <row r="963" spans="2:11" ht="12.95" customHeight="1" x14ac:dyDescent="0.25">
      <c r="B963" s="45" t="s">
        <v>35</v>
      </c>
      <c r="C963" s="42" t="s">
        <v>281</v>
      </c>
      <c r="D963" s="23" t="s">
        <v>153</v>
      </c>
      <c r="E963" s="5" t="s">
        <v>14</v>
      </c>
      <c r="F963" s="50"/>
      <c r="G963" s="50">
        <f>I958*ÍndiceCorreçãoNC!$H$13</f>
        <v>0</v>
      </c>
      <c r="H963" s="50">
        <f>IF(G963+I958&gt;AnalíticoNC!F963,AnalíticoNC!F963,I958+AnalíticoNC!G963)</f>
        <v>0</v>
      </c>
      <c r="I963" s="50">
        <f>IF(F963&gt;I958+AnalíticoNC!G963,"",I958+G963-F963)</f>
        <v>0</v>
      </c>
      <c r="J963" s="106" t="str">
        <f t="shared" si="45"/>
        <v/>
      </c>
      <c r="K963" s="105"/>
    </row>
    <row r="964" spans="2:11" ht="12.95" customHeight="1" x14ac:dyDescent="0.25">
      <c r="B964" s="45" t="s">
        <v>277</v>
      </c>
      <c r="C964" s="42" t="s">
        <v>282</v>
      </c>
      <c r="D964" s="23" t="s">
        <v>153</v>
      </c>
      <c r="E964" s="5" t="s">
        <v>14</v>
      </c>
      <c r="F964" s="50"/>
      <c r="G964" s="50">
        <f>I959*ÍndiceCorreçãoNC!$H$13</f>
        <v>0</v>
      </c>
      <c r="H964" s="50">
        <f>IF(G964+I959&gt;AnalíticoNC!F964,AnalíticoNC!F964,I959+AnalíticoNC!G964)</f>
        <v>0</v>
      </c>
      <c r="I964" s="50">
        <f>IF(F964&gt;I959+AnalíticoNC!G964,"",I959+G964-F964)</f>
        <v>0</v>
      </c>
      <c r="J964" s="106" t="str">
        <f t="shared" si="45"/>
        <v/>
      </c>
      <c r="K964" s="105"/>
    </row>
    <row r="965" spans="2:11" ht="12.95" customHeight="1" x14ac:dyDescent="0.25">
      <c r="B965" s="45" t="s">
        <v>278</v>
      </c>
      <c r="C965" s="42" t="s">
        <v>283</v>
      </c>
      <c r="D965" s="23" t="s">
        <v>153</v>
      </c>
      <c r="E965" s="5" t="s">
        <v>14</v>
      </c>
      <c r="F965" s="50"/>
      <c r="G965" s="50">
        <f>I960*ÍndiceCorreçãoNC!$H$13</f>
        <v>0</v>
      </c>
      <c r="H965" s="50">
        <f>IF(G965+I960&gt;AnalíticoNC!F965,AnalíticoNC!F965,I960+AnalíticoNC!G965)</f>
        <v>0</v>
      </c>
      <c r="I965" s="50">
        <f>IF(F965&gt;I960+AnalíticoNC!G965,"",I960+G965-F965)</f>
        <v>0</v>
      </c>
      <c r="J965" s="106" t="str">
        <f t="shared" si="45"/>
        <v/>
      </c>
      <c r="K965" s="105"/>
    </row>
    <row r="966" spans="2:11" ht="12.95" customHeight="1" x14ac:dyDescent="0.25">
      <c r="B966" s="45" t="s">
        <v>279</v>
      </c>
      <c r="C966" s="42" t="s">
        <v>284</v>
      </c>
      <c r="D966" s="23" t="s">
        <v>153</v>
      </c>
      <c r="E966" s="5" t="s">
        <v>14</v>
      </c>
      <c r="F966" s="50"/>
      <c r="G966" s="50">
        <f>I961*ÍndiceCorreçãoNC!$H$13</f>
        <v>0</v>
      </c>
      <c r="H966" s="50">
        <f>IF(G966+I961&gt;AnalíticoNC!F966,AnalíticoNC!F966,I961+AnalíticoNC!G966)</f>
        <v>0</v>
      </c>
      <c r="I966" s="50">
        <f>IF(F966&gt;I961+AnalíticoNC!G966,"",I961+G966-F966)</f>
        <v>0</v>
      </c>
      <c r="J966" s="106" t="str">
        <f t="shared" si="45"/>
        <v/>
      </c>
      <c r="K966" s="105"/>
    </row>
    <row r="967" spans="2:11" ht="12.95" customHeight="1" x14ac:dyDescent="0.25">
      <c r="B967" s="45" t="s">
        <v>280</v>
      </c>
      <c r="C967" s="42" t="s">
        <v>285</v>
      </c>
      <c r="D967" s="23" t="s">
        <v>153</v>
      </c>
      <c r="E967" s="5" t="s">
        <v>14</v>
      </c>
      <c r="F967" s="50"/>
      <c r="G967" s="50">
        <f>I962*ÍndiceCorreçãoNC!$H$13</f>
        <v>0</v>
      </c>
      <c r="H967" s="50">
        <f>IF(G967+I962&gt;AnalíticoNC!F967,AnalíticoNC!F967,I962+AnalíticoNC!G967)</f>
        <v>0</v>
      </c>
      <c r="I967" s="50">
        <f>IF(F967&gt;I962+AnalíticoNC!G967,"",I962+G967-F967)</f>
        <v>0</v>
      </c>
      <c r="J967" s="106" t="str">
        <f t="shared" si="45"/>
        <v/>
      </c>
      <c r="K967" s="105"/>
    </row>
    <row r="968" spans="2:11" ht="12.95" customHeight="1" x14ac:dyDescent="0.25">
      <c r="B968" s="45" t="s">
        <v>35</v>
      </c>
      <c r="C968" s="42" t="s">
        <v>281</v>
      </c>
      <c r="D968" s="23" t="s">
        <v>153</v>
      </c>
      <c r="E968" s="5" t="s">
        <v>15</v>
      </c>
      <c r="F968" s="50"/>
      <c r="G968" s="50">
        <f>I963*ÍndiceCorreçãoNC!$H$14</f>
        <v>0</v>
      </c>
      <c r="H968" s="50">
        <f>IF(G968+I963&gt;AnalíticoNC!F968,AnalíticoNC!F968,I963+AnalíticoNC!G968)</f>
        <v>0</v>
      </c>
      <c r="I968" s="50">
        <f>IF(F968&gt;I963+AnalíticoNC!G968,"",I963+G968-F968)</f>
        <v>0</v>
      </c>
      <c r="J968" s="106" t="str">
        <f t="shared" si="45"/>
        <v/>
      </c>
      <c r="K968" s="105"/>
    </row>
    <row r="969" spans="2:11" ht="12.95" customHeight="1" x14ac:dyDescent="0.25">
      <c r="B969" s="45" t="s">
        <v>277</v>
      </c>
      <c r="C969" s="42" t="s">
        <v>282</v>
      </c>
      <c r="D969" s="23" t="s">
        <v>153</v>
      </c>
      <c r="E969" s="5" t="s">
        <v>15</v>
      </c>
      <c r="F969" s="50"/>
      <c r="G969" s="50">
        <f>I964*ÍndiceCorreçãoNC!$H$14</f>
        <v>0</v>
      </c>
      <c r="H969" s="50">
        <f>IF(G969+I964&gt;AnalíticoNC!F969,AnalíticoNC!F969,I964+AnalíticoNC!G969)</f>
        <v>0</v>
      </c>
      <c r="I969" s="50">
        <f>IF(F969&gt;I964+AnalíticoNC!G969,"",I964+G969-F969)</f>
        <v>0</v>
      </c>
      <c r="J969" s="106" t="str">
        <f t="shared" si="45"/>
        <v/>
      </c>
      <c r="K969" s="105"/>
    </row>
    <row r="970" spans="2:11" ht="12.95" customHeight="1" x14ac:dyDescent="0.25">
      <c r="B970" s="45" t="s">
        <v>278</v>
      </c>
      <c r="C970" s="42" t="s">
        <v>283</v>
      </c>
      <c r="D970" s="23" t="s">
        <v>153</v>
      </c>
      <c r="E970" s="5" t="s">
        <v>15</v>
      </c>
      <c r="F970" s="50"/>
      <c r="G970" s="50">
        <f>I965*ÍndiceCorreçãoNC!$H$14</f>
        <v>0</v>
      </c>
      <c r="H970" s="50">
        <f>IF(G970+I965&gt;AnalíticoNC!F970,AnalíticoNC!F970,I965+AnalíticoNC!G970)</f>
        <v>0</v>
      </c>
      <c r="I970" s="50">
        <f>IF(F970&gt;I965+AnalíticoNC!G970,"",I965+G970-F970)</f>
        <v>0</v>
      </c>
      <c r="J970" s="106" t="str">
        <f t="shared" si="45"/>
        <v/>
      </c>
      <c r="K970" s="105"/>
    </row>
    <row r="971" spans="2:11" ht="12.95" customHeight="1" x14ac:dyDescent="0.25">
      <c r="B971" s="45" t="s">
        <v>279</v>
      </c>
      <c r="C971" s="42" t="s">
        <v>284</v>
      </c>
      <c r="D971" s="23" t="s">
        <v>153</v>
      </c>
      <c r="E971" s="5" t="s">
        <v>15</v>
      </c>
      <c r="F971" s="50"/>
      <c r="G971" s="50">
        <f>I966*ÍndiceCorreçãoNC!$H$14</f>
        <v>0</v>
      </c>
      <c r="H971" s="50">
        <f>IF(G971+I966&gt;AnalíticoNC!F971,AnalíticoNC!F971,I966+AnalíticoNC!G971)</f>
        <v>0</v>
      </c>
      <c r="I971" s="50">
        <f>IF(F971&gt;I966+AnalíticoNC!G971,"",I966+G971-F971)</f>
        <v>0</v>
      </c>
      <c r="J971" s="106" t="str">
        <f t="shared" si="45"/>
        <v/>
      </c>
      <c r="K971" s="105"/>
    </row>
    <row r="972" spans="2:11" ht="12.95" customHeight="1" x14ac:dyDescent="0.25">
      <c r="B972" s="45" t="s">
        <v>280</v>
      </c>
      <c r="C972" s="42" t="s">
        <v>285</v>
      </c>
      <c r="D972" s="23" t="s">
        <v>153</v>
      </c>
      <c r="E972" s="5" t="s">
        <v>15</v>
      </c>
      <c r="F972" s="50"/>
      <c r="G972" s="50">
        <f>I967*ÍndiceCorreçãoNC!$H$14</f>
        <v>0</v>
      </c>
      <c r="H972" s="50">
        <f>IF(G972+I967&gt;AnalíticoNC!F972,AnalíticoNC!F972,I967+AnalíticoNC!G972)</f>
        <v>0</v>
      </c>
      <c r="I972" s="50">
        <f>IF(F972&gt;I967+AnalíticoNC!G972,"",I967+G972-F972)</f>
        <v>0</v>
      </c>
      <c r="J972" s="106" t="str">
        <f t="shared" si="45"/>
        <v/>
      </c>
      <c r="K972" s="105"/>
    </row>
    <row r="973" spans="2:11" ht="12.95" customHeight="1" x14ac:dyDescent="0.25">
      <c r="B973" s="45" t="s">
        <v>35</v>
      </c>
      <c r="C973" s="42" t="s">
        <v>281</v>
      </c>
      <c r="D973" s="23" t="s">
        <v>153</v>
      </c>
      <c r="E973" s="5" t="s">
        <v>16</v>
      </c>
      <c r="F973" s="50"/>
      <c r="G973" s="50">
        <f>I968*ÍndiceCorreçãoNC!$H$15</f>
        <v>0</v>
      </c>
      <c r="H973" s="50">
        <f>IF(G973+I968&gt;AnalíticoNC!F973,AnalíticoNC!F973,I968+AnalíticoNC!G973)</f>
        <v>0</v>
      </c>
      <c r="I973" s="50">
        <f>IF(F973&gt;I968+AnalíticoNC!G973,"",I968+G973-F973)</f>
        <v>0</v>
      </c>
      <c r="J973" s="106" t="str">
        <f t="shared" si="45"/>
        <v/>
      </c>
      <c r="K973" s="105"/>
    </row>
    <row r="974" spans="2:11" ht="12.95" customHeight="1" x14ac:dyDescent="0.25">
      <c r="B974" s="45" t="s">
        <v>277</v>
      </c>
      <c r="C974" s="42" t="s">
        <v>282</v>
      </c>
      <c r="D974" s="23" t="s">
        <v>153</v>
      </c>
      <c r="E974" s="5" t="s">
        <v>16</v>
      </c>
      <c r="F974" s="50"/>
      <c r="G974" s="50">
        <f>I969*ÍndiceCorreçãoNC!$H$15</f>
        <v>0</v>
      </c>
      <c r="H974" s="50">
        <f>IF(G974+I969&gt;AnalíticoNC!F974,AnalíticoNC!F974,I969+AnalíticoNC!G974)</f>
        <v>0</v>
      </c>
      <c r="I974" s="50">
        <f>IF(F974&gt;I969+AnalíticoNC!G974,"",I969+G974-F974)</f>
        <v>0</v>
      </c>
      <c r="J974" s="106" t="str">
        <f t="shared" si="45"/>
        <v/>
      </c>
      <c r="K974" s="105"/>
    </row>
    <row r="975" spans="2:11" ht="12.95" customHeight="1" x14ac:dyDescent="0.25">
      <c r="B975" s="45" t="s">
        <v>278</v>
      </c>
      <c r="C975" s="42" t="s">
        <v>283</v>
      </c>
      <c r="D975" s="23" t="s">
        <v>153</v>
      </c>
      <c r="E975" s="5" t="s">
        <v>16</v>
      </c>
      <c r="F975" s="50"/>
      <c r="G975" s="50">
        <f>I970*ÍndiceCorreçãoNC!$H$15</f>
        <v>0</v>
      </c>
      <c r="H975" s="50">
        <f>IF(G975+I970&gt;AnalíticoNC!F975,AnalíticoNC!F975,I970+AnalíticoNC!G975)</f>
        <v>0</v>
      </c>
      <c r="I975" s="50">
        <f>IF(F975&gt;I970+AnalíticoNC!G975,"",I970+G975-F975)</f>
        <v>0</v>
      </c>
      <c r="J975" s="106" t="str">
        <f t="shared" si="45"/>
        <v/>
      </c>
      <c r="K975" s="105"/>
    </row>
    <row r="976" spans="2:11" ht="12.95" customHeight="1" x14ac:dyDescent="0.25">
      <c r="B976" s="45" t="s">
        <v>279</v>
      </c>
      <c r="C976" s="42" t="s">
        <v>284</v>
      </c>
      <c r="D976" s="23" t="s">
        <v>153</v>
      </c>
      <c r="E976" s="5" t="s">
        <v>16</v>
      </c>
      <c r="F976" s="50"/>
      <c r="G976" s="50">
        <f>I971*ÍndiceCorreçãoNC!$H$15</f>
        <v>0</v>
      </c>
      <c r="H976" s="50">
        <f>IF(G976+I971&gt;AnalíticoNC!F976,AnalíticoNC!F976,I971+AnalíticoNC!G976)</f>
        <v>0</v>
      </c>
      <c r="I976" s="50">
        <f>IF(F976&gt;I971+AnalíticoNC!G976,"",I971+G976-F976)</f>
        <v>0</v>
      </c>
      <c r="J976" s="106" t="str">
        <f t="shared" si="45"/>
        <v/>
      </c>
      <c r="K976" s="105"/>
    </row>
    <row r="977" spans="2:11" ht="12.95" customHeight="1" x14ac:dyDescent="0.25">
      <c r="B977" s="122" t="s">
        <v>280</v>
      </c>
      <c r="C977" s="123" t="s">
        <v>285</v>
      </c>
      <c r="D977" s="124" t="s">
        <v>153</v>
      </c>
      <c r="E977" s="125" t="s">
        <v>16</v>
      </c>
      <c r="F977" s="126"/>
      <c r="G977" s="126">
        <f>I972*ÍndiceCorreçãoNC!$H$15</f>
        <v>0</v>
      </c>
      <c r="H977" s="126">
        <f>IF(G977+I972&gt;AnalíticoNC!F977,AnalíticoNC!F977,I972+AnalíticoNC!G977)</f>
        <v>0</v>
      </c>
      <c r="I977" s="126">
        <f>IF(F977&gt;I972+AnalíticoNC!G977,"",I972+G977-F977)</f>
        <v>0</v>
      </c>
      <c r="J977" s="127" t="str">
        <f t="shared" si="45"/>
        <v/>
      </c>
      <c r="K977" s="128"/>
    </row>
  </sheetData>
  <autoFilter ref="B2:I977" xr:uid="{3516BA92-F32C-40C5-BF26-D52DC37AB574}"/>
  <phoneticPr fontId="5" type="noConversion"/>
  <pageMargins left="0.511811024" right="0.511811024" top="0.78740157499999996" bottom="0.78740157499999996" header="0.31496062000000002" footer="0.31496062000000002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08C7AC-1520-4BC7-BCBE-C1C854B5BF84}">
  <sheetPr codeName="Planilha3"/>
  <dimension ref="B1:I18"/>
  <sheetViews>
    <sheetView workbookViewId="0">
      <selection activeCell="C4" sqref="C4"/>
    </sheetView>
  </sheetViews>
  <sheetFormatPr defaultRowHeight="15" x14ac:dyDescent="0.25"/>
  <cols>
    <col min="2" max="2" width="10.42578125" style="1" customWidth="1"/>
    <col min="3" max="3" width="18.140625" style="5" customWidth="1"/>
    <col min="4" max="4" width="12" style="5" customWidth="1"/>
    <col min="5" max="5" width="18.5703125" customWidth="1"/>
    <col min="7" max="8" width="15.42578125" customWidth="1"/>
    <col min="9" max="9" width="18.28515625" customWidth="1"/>
  </cols>
  <sheetData>
    <row r="1" spans="2:9" s="53" customFormat="1" x14ac:dyDescent="0.25">
      <c r="B1" s="171" t="s">
        <v>271</v>
      </c>
      <c r="C1" s="171"/>
      <c r="D1" s="171"/>
      <c r="E1" s="171"/>
      <c r="G1" s="171" t="s">
        <v>272</v>
      </c>
      <c r="H1" s="171"/>
      <c r="I1" s="171"/>
    </row>
    <row r="2" spans="2:9" x14ac:dyDescent="0.25">
      <c r="G2" s="5"/>
      <c r="H2" s="5"/>
      <c r="I2" s="53"/>
    </row>
    <row r="3" spans="2:9" x14ac:dyDescent="0.25">
      <c r="B3" s="113" t="s">
        <v>4</v>
      </c>
      <c r="C3" s="113" t="s">
        <v>294</v>
      </c>
      <c r="D3" s="113" t="s">
        <v>17</v>
      </c>
      <c r="E3" s="113" t="s">
        <v>18</v>
      </c>
      <c r="G3" s="113" t="s">
        <v>4</v>
      </c>
      <c r="H3" s="113" t="s">
        <v>296</v>
      </c>
      <c r="I3" s="113" t="s">
        <v>18</v>
      </c>
    </row>
    <row r="4" spans="2:9" x14ac:dyDescent="0.25">
      <c r="B4" s="1" t="s">
        <v>5</v>
      </c>
      <c r="C4" s="5">
        <f>0.697279/100</f>
        <v>6.9727899999999995E-3</v>
      </c>
      <c r="D4" s="52">
        <v>9.2499999999999999E-2</v>
      </c>
      <c r="G4" s="5" t="s">
        <v>5</v>
      </c>
      <c r="H4" s="52"/>
      <c r="I4" s="53"/>
    </row>
    <row r="5" spans="2:9" x14ac:dyDescent="0.25">
      <c r="B5" s="1" t="s">
        <v>6</v>
      </c>
      <c r="D5" s="52">
        <v>0.1075</v>
      </c>
      <c r="G5" s="5" t="s">
        <v>6</v>
      </c>
      <c r="H5" s="52"/>
      <c r="I5" s="53"/>
    </row>
    <row r="6" spans="2:9" x14ac:dyDescent="0.25">
      <c r="B6" s="1" t="s">
        <v>7</v>
      </c>
      <c r="D6" s="52">
        <v>9.2499999999999999E-2</v>
      </c>
      <c r="G6" s="5" t="s">
        <v>7</v>
      </c>
      <c r="H6" s="52"/>
      <c r="I6" s="53"/>
    </row>
    <row r="7" spans="2:9" x14ac:dyDescent="0.25">
      <c r="B7" s="1" t="s">
        <v>8</v>
      </c>
      <c r="D7" s="52">
        <v>9.2499999999999999E-2</v>
      </c>
      <c r="G7" s="5" t="s">
        <v>8</v>
      </c>
      <c r="H7" s="52"/>
      <c r="I7" s="53"/>
    </row>
    <row r="8" spans="2:9" x14ac:dyDescent="0.25">
      <c r="B8" s="1" t="s">
        <v>9</v>
      </c>
      <c r="D8" s="52">
        <v>9.2499999999999999E-2</v>
      </c>
      <c r="G8" s="5" t="s">
        <v>9</v>
      </c>
      <c r="H8" s="52"/>
      <c r="I8" s="53"/>
    </row>
    <row r="9" spans="2:9" x14ac:dyDescent="0.25">
      <c r="B9" s="1" t="s">
        <v>10</v>
      </c>
      <c r="D9" s="52">
        <v>9.2499999999999999E-2</v>
      </c>
      <c r="G9" s="5" t="s">
        <v>10</v>
      </c>
      <c r="H9" s="52"/>
      <c r="I9" s="53"/>
    </row>
    <row r="10" spans="2:9" x14ac:dyDescent="0.25">
      <c r="B10" s="1" t="s">
        <v>11</v>
      </c>
      <c r="D10" s="52">
        <v>9.2499999999999999E-2</v>
      </c>
      <c r="G10" s="5" t="s">
        <v>11</v>
      </c>
      <c r="H10" s="52"/>
      <c r="I10" s="53"/>
    </row>
    <row r="11" spans="2:9" x14ac:dyDescent="0.25">
      <c r="B11" s="1" t="s">
        <v>12</v>
      </c>
      <c r="D11" s="52">
        <v>9.2499999999999999E-2</v>
      </c>
      <c r="G11" s="5" t="s">
        <v>12</v>
      </c>
      <c r="H11" s="52"/>
      <c r="I11" s="53"/>
    </row>
    <row r="12" spans="2:9" x14ac:dyDescent="0.25">
      <c r="B12" s="1" t="s">
        <v>13</v>
      </c>
      <c r="D12" s="52">
        <v>9.2499999999999999E-2</v>
      </c>
      <c r="G12" s="5" t="s">
        <v>13</v>
      </c>
      <c r="H12" s="52"/>
      <c r="I12" s="53"/>
    </row>
    <row r="13" spans="2:9" x14ac:dyDescent="0.25">
      <c r="B13" s="1" t="s">
        <v>14</v>
      </c>
      <c r="D13" s="52">
        <v>9.2499999999999999E-2</v>
      </c>
      <c r="G13" s="5" t="s">
        <v>14</v>
      </c>
      <c r="H13" s="52"/>
      <c r="I13" s="53"/>
    </row>
    <row r="14" spans="2:9" x14ac:dyDescent="0.25">
      <c r="B14" s="1" t="s">
        <v>15</v>
      </c>
      <c r="G14" s="5" t="s">
        <v>15</v>
      </c>
      <c r="H14" s="5"/>
      <c r="I14" s="53"/>
    </row>
    <row r="15" spans="2:9" x14ac:dyDescent="0.25">
      <c r="B15" s="1" t="s">
        <v>16</v>
      </c>
      <c r="G15" s="5" t="s">
        <v>16</v>
      </c>
      <c r="H15" s="5"/>
      <c r="I15" s="53"/>
    </row>
    <row r="17" spans="2:7" x14ac:dyDescent="0.25">
      <c r="B17" s="2" t="s">
        <v>295</v>
      </c>
      <c r="G17" s="2" t="s">
        <v>297</v>
      </c>
    </row>
    <row r="18" spans="2:7" x14ac:dyDescent="0.25">
      <c r="B18" s="2" t="s">
        <v>298</v>
      </c>
      <c r="G18" s="53" t="s">
        <v>299</v>
      </c>
    </row>
  </sheetData>
  <mergeCells count="2">
    <mergeCell ref="B1:E1"/>
    <mergeCell ref="G1:I1"/>
  </mergeCells>
  <pageMargins left="0.511811024" right="0.511811024" top="0.78740157499999996" bottom="0.78740157499999996" header="0.31496062000000002" footer="0.31496062000000002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ControleGeral</vt:lpstr>
      <vt:lpstr>SintéticoGeral</vt:lpstr>
      <vt:lpstr>SintéticoNC</vt:lpstr>
      <vt:lpstr>AnalíticoNC</vt:lpstr>
      <vt:lpstr>ÍndiceCorreçãoNC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Usuário do Windows</dc:creator>
  <cp:lastModifiedBy>Alessandra Mascarenhas de Oliveira Solano</cp:lastModifiedBy>
  <dcterms:created xsi:type="dcterms:W3CDTF">2022-01-19T11:40:06Z</dcterms:created>
  <dcterms:modified xsi:type="dcterms:W3CDTF">2022-03-07T20:01:27Z</dcterms:modified>
</cp:coreProperties>
</file>